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9aece5a637a38a/Intro to Data Science/Final Report/"/>
    </mc:Choice>
  </mc:AlternateContent>
  <xr:revisionPtr revIDLastSave="0" documentId="8_{534DCAD9-0CB3-44F6-A8E2-BE63185DD474}" xr6:coauthVersionLast="47" xr6:coauthVersionMax="47" xr10:uidLastSave="{00000000-0000-0000-0000-000000000000}"/>
  <bookViews>
    <workbookView xWindow="1125" yWindow="1125" windowWidth="28800" windowHeight="15285" xr2:uid="{08A951CB-9A33-4FAB-A0A5-92AC2F2FE26F}"/>
  </bookViews>
  <sheets>
    <sheet name="Sheet1" sheetId="1" r:id="rId1"/>
  </sheets>
  <externalReferences>
    <externalReference r:id="rId2"/>
  </externalReferences>
  <definedNames>
    <definedName name="_xlchart.v1.0" hidden="1">'[1]Problem #4'!$K$1</definedName>
    <definedName name="_xlchart.v1.1" hidden="1">'[1]Problem #4'!$K$2:$K$174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</calcChain>
</file>

<file path=xl/sharedStrings.xml><?xml version="1.0" encoding="utf-8"?>
<sst xmlns="http://schemas.openxmlformats.org/spreadsheetml/2006/main" count="357" uniqueCount="357">
  <si>
    <t>J.T. Barrett*</t>
  </si>
  <si>
    <t>jt-barrett-1</t>
  </si>
  <si>
    <t>C.J. Stroud*</t>
  </si>
  <si>
    <t>cj-stroud-1</t>
  </si>
  <si>
    <t>Justin Fields*</t>
  </si>
  <si>
    <t>justin-fields-2</t>
  </si>
  <si>
    <t>Mean Completion %:</t>
  </si>
  <si>
    <t>The following is the total average completion percentage of all players to attempt a pass at Ohio State</t>
  </si>
  <si>
    <t>Terrelle Pryor*</t>
  </si>
  <si>
    <t>terrelle-pryor-1</t>
  </si>
  <si>
    <t>Bobby Hoying</t>
  </si>
  <si>
    <t>bobby-hoying-1</t>
  </si>
  <si>
    <t>Troy Smith*</t>
  </si>
  <si>
    <t>troy-smith-1</t>
  </si>
  <si>
    <t>Dwayne Haskins*</t>
  </si>
  <si>
    <t>dwayne-haskins-1</t>
  </si>
  <si>
    <t>The following graph is the total number of passing touchdowns players at Ohio State have had.</t>
  </si>
  <si>
    <t>Joe Germaine</t>
  </si>
  <si>
    <t>joe-germaine-1</t>
  </si>
  <si>
    <t>Braxton Miller*</t>
  </si>
  <si>
    <t>braxton-miller-1</t>
  </si>
  <si>
    <t>According to the graph, a majority of players who attempted a pass have thrown between 0-5 Touchdowns.</t>
  </si>
  <si>
    <t>Art Schlichter</t>
  </si>
  <si>
    <t>art-schlichter-1</t>
  </si>
  <si>
    <t>Jim Karsatos</t>
  </si>
  <si>
    <t>jim-karsatos-1</t>
  </si>
  <si>
    <t>J.T. Barret has thrown the most touchdowns at 104.</t>
  </si>
  <si>
    <t>Greg Frey</t>
  </si>
  <si>
    <t>greg-frey-1</t>
  </si>
  <si>
    <t>Steve Bellisari</t>
  </si>
  <si>
    <t>steve-bellisari-1</t>
  </si>
  <si>
    <t>Will Howard*</t>
  </si>
  <si>
    <t>will-howard-2</t>
  </si>
  <si>
    <t>Todd Boeckman*</t>
  </si>
  <si>
    <t>todd-boeckman-1</t>
  </si>
  <si>
    <t>Mike Tomczak</t>
  </si>
  <si>
    <t>mike-tomczak-1</t>
  </si>
  <si>
    <t>Craig Krenzel</t>
  </si>
  <si>
    <t>craig-krenzel-1</t>
  </si>
  <si>
    <t>Kyle McCord*</t>
  </si>
  <si>
    <t>kyle-mccord-1</t>
  </si>
  <si>
    <t>Stanley Jackson</t>
  </si>
  <si>
    <t>stanley-jackson-1</t>
  </si>
  <si>
    <t>John Borton</t>
  </si>
  <si>
    <t>john-borton-1</t>
  </si>
  <si>
    <t>Rex Kern</t>
  </si>
  <si>
    <t>rex-kern-1</t>
  </si>
  <si>
    <t>Cornelius Greene</t>
  </si>
  <si>
    <t>cornelius-greene-1</t>
  </si>
  <si>
    <t>For this analysis, Excel functions were used to find the total average completion percentage of all the players</t>
  </si>
  <si>
    <t>Kenny Guiton*</t>
  </si>
  <si>
    <t>kenny-guiton-1</t>
  </si>
  <si>
    <t xml:space="preserve">in Ohio State History to attempt a pass.A graph was made to determine how many players have thrown a </t>
  </si>
  <si>
    <t>Tom Tupa</t>
  </si>
  <si>
    <t>tom-tupa-1</t>
  </si>
  <si>
    <t>certain amount of passing touchdowns.</t>
  </si>
  <si>
    <t>Vic Janowicz</t>
  </si>
  <si>
    <t>vic-janowicz-1</t>
  </si>
  <si>
    <t>Cardale Jones*</t>
  </si>
  <si>
    <t>cardale-jones-1</t>
  </si>
  <si>
    <t>Tom Matte</t>
  </si>
  <si>
    <t>tom-matte-1</t>
  </si>
  <si>
    <t>Don Unverferth</t>
  </si>
  <si>
    <t>don-unverferth-1</t>
  </si>
  <si>
    <t>Pandel Savic</t>
  </si>
  <si>
    <t>pandel-savic-1</t>
  </si>
  <si>
    <t>TD</t>
  </si>
  <si>
    <t>(Multiple Items)</t>
  </si>
  <si>
    <t>Dave Leggett</t>
  </si>
  <si>
    <t>dave-leggett-1</t>
  </si>
  <si>
    <t>Scott McMullen</t>
  </si>
  <si>
    <t>scott-mcmullen-1</t>
  </si>
  <si>
    <t>Count of Player</t>
  </si>
  <si>
    <t>Tony Curcillo</t>
  </si>
  <si>
    <t>tony-curcillo-1</t>
  </si>
  <si>
    <t>Joe Sparma</t>
  </si>
  <si>
    <t>joe-sparma-1</t>
  </si>
  <si>
    <t>William Long</t>
  </si>
  <si>
    <t>william-long-1</t>
  </si>
  <si>
    <t>Ron Maciejowski</t>
  </si>
  <si>
    <t>ron-maciejowski-1</t>
  </si>
  <si>
    <t>Kent Graham</t>
  </si>
  <si>
    <t>kent-graham-1</t>
  </si>
  <si>
    <t>Bret Powers</t>
  </si>
  <si>
    <t>bret-powers-1</t>
  </si>
  <si>
    <t>Justin Zwick*</t>
  </si>
  <si>
    <t>justin-zwick-1</t>
  </si>
  <si>
    <t>Joe Bauserman*</t>
  </si>
  <si>
    <t>joe-bauserman-1</t>
  </si>
  <si>
    <t>Jerry Krall</t>
  </si>
  <si>
    <t>jerry-krall-1</t>
  </si>
  <si>
    <t>Frank Ellwood</t>
  </si>
  <si>
    <t>frank-ellwood-1</t>
  </si>
  <si>
    <t>Kevin Rusnak</t>
  </si>
  <si>
    <t>kevin-rusnak-1</t>
  </si>
  <si>
    <t>Greg Hare</t>
  </si>
  <si>
    <t>greg-hare-1</t>
  </si>
  <si>
    <t>Chris Chugunov*</t>
  </si>
  <si>
    <t>chris-chugunov-1</t>
  </si>
  <si>
    <t>Kirk Herbstreit</t>
  </si>
  <si>
    <t>kirk-herbstreit-1</t>
  </si>
  <si>
    <t>Greg Castignola</t>
  </si>
  <si>
    <t>greg-castignola-1</t>
  </si>
  <si>
    <t>Paul Sarringhaus</t>
  </si>
  <si>
    <t>paul-sarringhaus-1</t>
  </si>
  <si>
    <t>Les Horvath</t>
  </si>
  <si>
    <t>les-horvath-1</t>
  </si>
  <si>
    <t>Richard Doyle</t>
  </si>
  <si>
    <t>richard-doyle-1</t>
  </si>
  <si>
    <t>Frank Kremblas</t>
  </si>
  <si>
    <t>frank-kremblas-1</t>
  </si>
  <si>
    <t>Rod Gerald</t>
  </si>
  <si>
    <t>rod-gerald-1</t>
  </si>
  <si>
    <t>Tom Hoying</t>
  </si>
  <si>
    <t>tom-hoying-1</t>
  </si>
  <si>
    <t>Devin Brown*</t>
  </si>
  <si>
    <t>devin-brown-2</t>
  </si>
  <si>
    <t>George Slusser</t>
  </si>
  <si>
    <t>george-slusser-1</t>
  </si>
  <si>
    <t>Tom Keane</t>
  </si>
  <si>
    <t>tom-keane-1</t>
  </si>
  <si>
    <t>Don Clark</t>
  </si>
  <si>
    <t>don-clark-3</t>
  </si>
  <si>
    <t>Jerry Fields</t>
  </si>
  <si>
    <t>jerry-fields-1</t>
  </si>
  <si>
    <t>John Mummey</t>
  </si>
  <si>
    <t>john-mummey-1</t>
  </si>
  <si>
    <t>Don Lamka</t>
  </si>
  <si>
    <t>don-lamka-1</t>
  </si>
  <si>
    <t>Dave Purdy</t>
  </si>
  <si>
    <t>dave-purdy-1</t>
  </si>
  <si>
    <t>Brent Offenbecher</t>
  </si>
  <si>
    <t>brent-offenbecher-1</t>
  </si>
  <si>
    <t>Michael Wiley</t>
  </si>
  <si>
    <t>michael-wiley-1</t>
  </si>
  <si>
    <t>Mark Garcia</t>
  </si>
  <si>
    <t>mark-garcia-1</t>
  </si>
  <si>
    <t>Austin Moherman</t>
  </si>
  <si>
    <t>austin-moherman-1</t>
  </si>
  <si>
    <t>Joe Burrow*</t>
  </si>
  <si>
    <t>joe-burrow-1</t>
  </si>
  <si>
    <t>Tommy James</t>
  </si>
  <si>
    <t>tommy-james-1</t>
  </si>
  <si>
    <t>Bob Dove</t>
  </si>
  <si>
    <t>bob-dove-2</t>
  </si>
  <si>
    <t>George Gordon</t>
  </si>
  <si>
    <t>george-gordon-2</t>
  </si>
  <si>
    <t>Alex Verdova</t>
  </si>
  <si>
    <t>alex-verdova-1</t>
  </si>
  <si>
    <t>George Wertz</t>
  </si>
  <si>
    <t>george-wertz-1</t>
  </si>
  <si>
    <t>Fred Bruney</t>
  </si>
  <si>
    <t>fred-bruney-1</t>
  </si>
  <si>
    <t>Bernie Skvarka</t>
  </si>
  <si>
    <t>bernie-skvarka-1</t>
  </si>
  <si>
    <t>Dick Ellwood</t>
  </si>
  <si>
    <t>dick-ellwood-1</t>
  </si>
  <si>
    <t>Howard Cassady</t>
  </si>
  <si>
    <t>howard-cassady-1</t>
  </si>
  <si>
    <t>Ralph Gage</t>
  </si>
  <si>
    <t>ralph-gage-1</t>
  </si>
  <si>
    <t>William Mrukowski</t>
  </si>
  <si>
    <t>william-mrukowski-1</t>
  </si>
  <si>
    <t>Dave Brungard</t>
  </si>
  <si>
    <t>dave-brungard-1</t>
  </si>
  <si>
    <t>Jim Pacenta</t>
  </si>
  <si>
    <t>jim-pacenta-1</t>
  </si>
  <si>
    <t>Bob Atha</t>
  </si>
  <si>
    <t>bob-atha-1</t>
  </si>
  <si>
    <t>Keith Byars</t>
  </si>
  <si>
    <t>keith-byars-1</t>
  </si>
  <si>
    <t>Cris Carter</t>
  </si>
  <si>
    <t>cris-carter-1</t>
  </si>
  <si>
    <t>Vince Workman</t>
  </si>
  <si>
    <t>vince-workman-1</t>
  </si>
  <si>
    <t>Jeff Graham</t>
  </si>
  <si>
    <t>jeff-graham-2</t>
  </si>
  <si>
    <t>Ted Ginn Jr.*</t>
  </si>
  <si>
    <t>ted-ginn-jr-1</t>
  </si>
  <si>
    <t>Antonio Henton*</t>
  </si>
  <si>
    <t>antonio-henton-1</t>
  </si>
  <si>
    <t>Devier Posey*</t>
  </si>
  <si>
    <t>devier-posey-1</t>
  </si>
  <si>
    <t>Jordan Hall*</t>
  </si>
  <si>
    <t>jordan-hall-1</t>
  </si>
  <si>
    <t>Evan Spencer*</t>
  </si>
  <si>
    <t>evan-spencer-1</t>
  </si>
  <si>
    <t>Tate Martell*</t>
  </si>
  <si>
    <t>tate-martell-1</t>
  </si>
  <si>
    <t>Gunnar Hoak*</t>
  </si>
  <si>
    <t>gunnar-hoak-1</t>
  </si>
  <si>
    <t>Julian Sayin*</t>
  </si>
  <si>
    <t>julian-sayin-1</t>
  </si>
  <si>
    <t>Richard Palmer</t>
  </si>
  <si>
    <t>richard-palmer-2</t>
  </si>
  <si>
    <t>Bob Frye</t>
  </si>
  <si>
    <t>bob-frye-1</t>
  </si>
  <si>
    <t>Gene Fekete</t>
  </si>
  <si>
    <t>gene-fekete-1</t>
  </si>
  <si>
    <t>Loren Staker</t>
  </si>
  <si>
    <t>loren-staker-1</t>
  </si>
  <si>
    <t>Cyril Lipaj</t>
  </si>
  <si>
    <t>cyril-lipaj-1</t>
  </si>
  <si>
    <t>Bill Durtschi</t>
  </si>
  <si>
    <t>bill-durtschi-1</t>
  </si>
  <si>
    <t>Bob Brugge</t>
  </si>
  <si>
    <t>bob-brugge-1</t>
  </si>
  <si>
    <t>Ollie Cline</t>
  </si>
  <si>
    <t>ollie-cline-1</t>
  </si>
  <si>
    <t>Dick Flanagan</t>
  </si>
  <si>
    <t>dick-flanagan-1</t>
  </si>
  <si>
    <t>Dick Wandke</t>
  </si>
  <si>
    <t>dick-wandke-1</t>
  </si>
  <si>
    <t>Gene Janecko</t>
  </si>
  <si>
    <t>gene-janecko-1</t>
  </si>
  <si>
    <t>Richard Slager</t>
  </si>
  <si>
    <t>richard-slager-1</t>
  </si>
  <si>
    <t>George Spencer</t>
  </si>
  <si>
    <t>george-spencer-1</t>
  </si>
  <si>
    <t>William Doolittle</t>
  </si>
  <si>
    <t>william-doolittle-1</t>
  </si>
  <si>
    <t>Joseph Whisler</t>
  </si>
  <si>
    <t>joseph-whisler-1</t>
  </si>
  <si>
    <t>Thomas Phillips</t>
  </si>
  <si>
    <t>thomas-phillips-1</t>
  </si>
  <si>
    <t>Rodney Swinehart</t>
  </si>
  <si>
    <t>rodney-swinehart-1</t>
  </si>
  <si>
    <t>Pete Perini</t>
  </si>
  <si>
    <t>pete-perini-1</t>
  </si>
  <si>
    <t>Jimmy Clark</t>
  </si>
  <si>
    <t>jimmy-clark-2</t>
  </si>
  <si>
    <t>Karl Sturtz</t>
  </si>
  <si>
    <t>karl-sturtz-1</t>
  </si>
  <si>
    <t>Dick Widdoes</t>
  </si>
  <si>
    <t>dick-widdoes-1</t>
  </si>
  <si>
    <t>Tom Anderson</t>
  </si>
  <si>
    <t>tom-anderson-5</t>
  </si>
  <si>
    <t>Ray Hamilton</t>
  </si>
  <si>
    <t>ray-hamilton-2</t>
  </si>
  <si>
    <t>Earle Gentile</t>
  </si>
  <si>
    <t>earle-gentile-1</t>
  </si>
  <si>
    <t>David Gambill</t>
  </si>
  <si>
    <t>david-gambill-1</t>
  </si>
  <si>
    <t>William Wilks</t>
  </si>
  <si>
    <t>william-wilks-1</t>
  </si>
  <si>
    <t>Douglas Goodsell</t>
  </si>
  <si>
    <t>douglas-goodsell-1</t>
  </si>
  <si>
    <t>William Petersen</t>
  </si>
  <si>
    <t>william-petersen-1</t>
  </si>
  <si>
    <t>William Booth</t>
  </si>
  <si>
    <t>william-booth-1</t>
  </si>
  <si>
    <t>George Rosso</t>
  </si>
  <si>
    <t>george-rosso-1</t>
  </si>
  <si>
    <t>Andrew Okulovich</t>
  </si>
  <si>
    <t>andrew-okulovich-1</t>
  </si>
  <si>
    <t>James Roseboro</t>
  </si>
  <si>
    <t>james-roseboro-1</t>
  </si>
  <si>
    <t>Richard Young</t>
  </si>
  <si>
    <t>richard-young-1</t>
  </si>
  <si>
    <t>Hubert Bobo</t>
  </si>
  <si>
    <t>hubert-bobo-1</t>
  </si>
  <si>
    <t>_ Robson</t>
  </si>
  <si>
    <t>robson-1</t>
  </si>
  <si>
    <t>Don Sutherin</t>
  </si>
  <si>
    <t>don-sutherin-1</t>
  </si>
  <si>
    <t>Frank Theis</t>
  </si>
  <si>
    <t>frank-theis-1</t>
  </si>
  <si>
    <t>Bob Lilenthal</t>
  </si>
  <si>
    <t>bob-lilenthal-1</t>
  </si>
  <si>
    <t>Dick LeBeau</t>
  </si>
  <si>
    <t>dick-lebeau-1</t>
  </si>
  <si>
    <t>Bill Wentz</t>
  </si>
  <si>
    <t>bill-wentz-1</t>
  </si>
  <si>
    <t>Dave Zuhars</t>
  </si>
  <si>
    <t>dave-zuhars-1</t>
  </si>
  <si>
    <t>Tom Crawford</t>
  </si>
  <si>
    <t>tom-crawford-1</t>
  </si>
  <si>
    <t>John Dresser</t>
  </si>
  <si>
    <t>john-dresser-1</t>
  </si>
  <si>
    <t>Michael Benis</t>
  </si>
  <si>
    <t>michael-benis-1</t>
  </si>
  <si>
    <t>Jack Wallace</t>
  </si>
  <si>
    <t>jack-wallace-2</t>
  </si>
  <si>
    <t>Paul Warfield</t>
  </si>
  <si>
    <t>paul-warfield-1</t>
  </si>
  <si>
    <t>Nicholas Yonclas</t>
  </si>
  <si>
    <t>nicholas-yonclas-1</t>
  </si>
  <si>
    <t>Arnold Chonko</t>
  </si>
  <si>
    <t>arnold-chonko-1</t>
  </si>
  <si>
    <t>Tom Barrington</t>
  </si>
  <si>
    <t>tom-barrington-1</t>
  </si>
  <si>
    <t>Arnold Fontes</t>
  </si>
  <si>
    <t>arnold-fontes-1</t>
  </si>
  <si>
    <t>Gerald Ehrsam</t>
  </si>
  <si>
    <t>gerald-ehrsam-1</t>
  </si>
  <si>
    <t>Mike Sensibaugh</t>
  </si>
  <si>
    <t>mike-sensibaugh-1</t>
  </si>
  <si>
    <t>Richard Galbos</t>
  </si>
  <si>
    <t>richard-galbos-1</t>
  </si>
  <si>
    <t>Ross Moore</t>
  </si>
  <si>
    <t>ross-moore-1</t>
  </si>
  <si>
    <t>Bill Boyle</t>
  </si>
  <si>
    <t>bill-boyle-1</t>
  </si>
  <si>
    <t>Steve Morrison</t>
  </si>
  <si>
    <t>steve-morrison-1</t>
  </si>
  <si>
    <t>Jeff Logan</t>
  </si>
  <si>
    <t>jeff-logan-1</t>
  </si>
  <si>
    <t>Mike Strahine</t>
  </si>
  <si>
    <t>mike-strahine-1</t>
  </si>
  <si>
    <t>Gary Williams</t>
  </si>
  <si>
    <t>gary-williams-3</t>
  </si>
  <si>
    <t>Tim Spencer</t>
  </si>
  <si>
    <t>tim-spencer-1</t>
  </si>
  <si>
    <t>Tim Stephens</t>
  </si>
  <si>
    <t>tim-stephens-1</t>
  </si>
  <si>
    <t>Doug Smith</t>
  </si>
  <si>
    <t>doug-smith-1</t>
  </si>
  <si>
    <t>Scott Powell</t>
  </si>
  <si>
    <t>scott-powell-1</t>
  </si>
  <si>
    <t>Everett Ross</t>
  </si>
  <si>
    <t>everett-ross-1</t>
  </si>
  <si>
    <t>Jaymes Bryant</t>
  </si>
  <si>
    <t>jaymes-bryant-1</t>
  </si>
  <si>
    <t>Marc Hicks</t>
  </si>
  <si>
    <t>marc-hicks-2</t>
  </si>
  <si>
    <t>John Wagoner</t>
  </si>
  <si>
    <t>john-wagoner-1</t>
  </si>
  <si>
    <t>Tim Williams</t>
  </si>
  <si>
    <t>tim-williams-6</t>
  </si>
  <si>
    <t>Joe Pickens</t>
  </si>
  <si>
    <t>joe-pickens-1</t>
  </si>
  <si>
    <t>Pepe Pearson</t>
  </si>
  <si>
    <t>pepe-pearson-1</t>
  </si>
  <si>
    <t>Dan Stultz</t>
  </si>
  <si>
    <t>dan-stultz-1</t>
  </si>
  <si>
    <t>Chad Cacchio</t>
  </si>
  <si>
    <t>chad-cacchio-1</t>
  </si>
  <si>
    <t>Jonathan Wells</t>
  </si>
  <si>
    <t>jonathan-wells-1</t>
  </si>
  <si>
    <t>B.J. Sander</t>
  </si>
  <si>
    <t>bj-sander-1</t>
  </si>
  <si>
    <t>Chris Vance</t>
  </si>
  <si>
    <t>chris-vance-1</t>
  </si>
  <si>
    <t>Rob Schoenhoft*</t>
  </si>
  <si>
    <t>rob-schoenhoft-1</t>
  </si>
  <si>
    <t>Cameron Johnston*</t>
  </si>
  <si>
    <t>cameron-johnston-1</t>
  </si>
  <si>
    <t>Jalin Marshall*</t>
  </si>
  <si>
    <t>jalin-marshall-1</t>
  </si>
  <si>
    <t>Drue Chrisman*</t>
  </si>
  <si>
    <t>dru-chrisman-1</t>
  </si>
  <si>
    <t>Jack Miller III*</t>
  </si>
  <si>
    <t>jack-miller-iii-1</t>
  </si>
  <si>
    <t>Emeka Egbuka*</t>
  </si>
  <si>
    <t>emeka-egbuka-1</t>
  </si>
  <si>
    <t>Lincoln Kienholz*</t>
  </si>
  <si>
    <t>lincoln-kienholz-1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</si>
</sst>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Ohio State Player Passing Touchdowns (By Range of 5) 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Ohio State Player Passing Touchdowns (By Range of 5)  </a:t>
          </a:r>
        </a:p>
      </cx:txPr>
    </cx:title>
    <cx:plotArea>
      <cx:plotAreaRegion>
        <cx:series layoutId="clusteredColumn" uniqueId="{5BF216D7-FD6D-4CC4-81D6-947F501FF7C3}">
          <cx:tx>
            <cx:txData>
              <cx:f>_xlchart.v1.0</cx:f>
              <cx:v>TD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# of Touchdowns Thrown (By Range of 5)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of Touchdowns Thrown (By Range of 5)</a:t>
              </a:r>
            </a:p>
          </cx:txPr>
        </cx:title>
        <cx:tickLabels/>
      </cx:axis>
      <cx:axis id="1">
        <cx:valScaling/>
        <cx:title>
          <cx:tx>
            <cx:txData>
              <cx:v># of Players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of Players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474784</xdr:colOff>
      <xdr:row>4</xdr:row>
      <xdr:rowOff>184639</xdr:rowOff>
    </xdr:from>
    <xdr:to>
      <xdr:col>27</xdr:col>
      <xdr:colOff>52754</xdr:colOff>
      <xdr:row>19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A71DE64-5F66-471D-B8C2-1ECBCB912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66784" y="946639"/>
              <a:ext cx="3845170" cy="2787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19aece5a637a38a/Intro%20to%20Data%20Science/Homework%203.xlsx" TargetMode="External"/><Relationship Id="rId1" Type="http://schemas.openxmlformats.org/officeDocument/2006/relationships/externalLinkPath" Target="/119aece5a637a38a/Intro%20to%20Data%20Science/Homework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eptual Questions"/>
      <sheetName val="Homework Problem 3.1"/>
      <sheetName val="Homework Problem 3.2"/>
      <sheetName val="Problem #4"/>
    </sheetNames>
    <sheetDataSet>
      <sheetData sheetId="0"/>
      <sheetData sheetId="1"/>
      <sheetData sheetId="2"/>
      <sheetData sheetId="3">
        <row r="1">
          <cell r="K1" t="str">
            <v>TD</v>
          </cell>
        </row>
        <row r="2">
          <cell r="K2">
            <v>104</v>
          </cell>
        </row>
        <row r="3">
          <cell r="K3">
            <v>85</v>
          </cell>
        </row>
        <row r="4">
          <cell r="K4">
            <v>63</v>
          </cell>
        </row>
        <row r="5">
          <cell r="K5">
            <v>57</v>
          </cell>
        </row>
        <row r="6">
          <cell r="K6">
            <v>54</v>
          </cell>
        </row>
        <row r="7">
          <cell r="K7">
            <v>54</v>
          </cell>
        </row>
        <row r="8">
          <cell r="K8">
            <v>54</v>
          </cell>
        </row>
        <row r="9">
          <cell r="K9">
            <v>52</v>
          </cell>
        </row>
        <row r="10">
          <cell r="K10">
            <v>52</v>
          </cell>
        </row>
        <row r="11">
          <cell r="K11">
            <v>44</v>
          </cell>
        </row>
        <row r="12">
          <cell r="K12">
            <v>36</v>
          </cell>
        </row>
        <row r="13">
          <cell r="K13">
            <v>36</v>
          </cell>
        </row>
        <row r="14">
          <cell r="K14">
            <v>33</v>
          </cell>
        </row>
        <row r="15">
          <cell r="K15">
            <v>33</v>
          </cell>
        </row>
        <row r="16">
          <cell r="K16">
            <v>31</v>
          </cell>
        </row>
        <row r="17">
          <cell r="K17">
            <v>30</v>
          </cell>
        </row>
        <row r="18">
          <cell r="K18">
            <v>28</v>
          </cell>
        </row>
        <row r="19">
          <cell r="K19">
            <v>27</v>
          </cell>
        </row>
        <row r="20">
          <cell r="K20">
            <v>21</v>
          </cell>
        </row>
        <row r="21">
          <cell r="K21">
            <v>19</v>
          </cell>
        </row>
        <row r="22">
          <cell r="K22">
            <v>17</v>
          </cell>
        </row>
        <row r="23">
          <cell r="K23">
            <v>17</v>
          </cell>
        </row>
        <row r="24">
          <cell r="K24">
            <v>16</v>
          </cell>
        </row>
        <row r="25">
          <cell r="K25">
            <v>15</v>
          </cell>
        </row>
        <row r="26">
          <cell r="K26">
            <v>14</v>
          </cell>
        </row>
        <row r="27">
          <cell r="K27">
            <v>13</v>
          </cell>
        </row>
        <row r="28">
          <cell r="K28">
            <v>12</v>
          </cell>
        </row>
        <row r="29">
          <cell r="K29">
            <v>12</v>
          </cell>
        </row>
        <row r="30">
          <cell r="K30">
            <v>11</v>
          </cell>
        </row>
        <row r="31">
          <cell r="K31">
            <v>9</v>
          </cell>
        </row>
        <row r="32">
          <cell r="K32">
            <v>9</v>
          </cell>
        </row>
        <row r="33">
          <cell r="K33">
            <v>8</v>
          </cell>
        </row>
        <row r="34">
          <cell r="K34">
            <v>8</v>
          </cell>
        </row>
        <row r="35">
          <cell r="K35">
            <v>8</v>
          </cell>
        </row>
        <row r="36">
          <cell r="K36">
            <v>7</v>
          </cell>
        </row>
        <row r="37">
          <cell r="K37">
            <v>7</v>
          </cell>
        </row>
        <row r="38">
          <cell r="K38">
            <v>7</v>
          </cell>
        </row>
        <row r="39">
          <cell r="K39">
            <v>7</v>
          </cell>
        </row>
        <row r="40">
          <cell r="K40">
            <v>7</v>
          </cell>
        </row>
        <row r="41">
          <cell r="K41">
            <v>6</v>
          </cell>
        </row>
        <row r="42">
          <cell r="K42">
            <v>6</v>
          </cell>
        </row>
        <row r="43">
          <cell r="K43">
            <v>6</v>
          </cell>
        </row>
        <row r="44">
          <cell r="K44">
            <v>6</v>
          </cell>
        </row>
        <row r="45">
          <cell r="K45">
            <v>6</v>
          </cell>
        </row>
        <row r="46">
          <cell r="K46">
            <v>5</v>
          </cell>
        </row>
        <row r="47">
          <cell r="K47">
            <v>4</v>
          </cell>
        </row>
        <row r="48">
          <cell r="K48">
            <v>3</v>
          </cell>
        </row>
        <row r="49">
          <cell r="K49">
            <v>3</v>
          </cell>
        </row>
        <row r="50">
          <cell r="K50">
            <v>3</v>
          </cell>
        </row>
        <row r="51">
          <cell r="K51">
            <v>3</v>
          </cell>
        </row>
        <row r="52">
          <cell r="K52">
            <v>3</v>
          </cell>
        </row>
        <row r="53">
          <cell r="K53">
            <v>3</v>
          </cell>
        </row>
        <row r="54">
          <cell r="K54">
            <v>3</v>
          </cell>
        </row>
        <row r="55">
          <cell r="K55">
            <v>2</v>
          </cell>
        </row>
        <row r="56">
          <cell r="K56">
            <v>2</v>
          </cell>
        </row>
        <row r="57">
          <cell r="K57">
            <v>2</v>
          </cell>
        </row>
        <row r="58">
          <cell r="K58">
            <v>2</v>
          </cell>
        </row>
        <row r="59">
          <cell r="K59">
            <v>2</v>
          </cell>
        </row>
        <row r="60">
          <cell r="K60">
            <v>2</v>
          </cell>
        </row>
        <row r="61">
          <cell r="K61">
            <v>2</v>
          </cell>
        </row>
        <row r="62">
          <cell r="K62">
            <v>2</v>
          </cell>
        </row>
        <row r="63">
          <cell r="K63">
            <v>2</v>
          </cell>
        </row>
        <row r="64">
          <cell r="K64">
            <v>2</v>
          </cell>
        </row>
        <row r="65">
          <cell r="K65">
            <v>2</v>
          </cell>
        </row>
        <row r="66">
          <cell r="K66">
            <v>2</v>
          </cell>
        </row>
        <row r="67">
          <cell r="K67">
            <v>1</v>
          </cell>
        </row>
        <row r="68">
          <cell r="K68">
            <v>1</v>
          </cell>
        </row>
        <row r="69">
          <cell r="K69">
            <v>1</v>
          </cell>
        </row>
        <row r="70">
          <cell r="K70">
            <v>1</v>
          </cell>
        </row>
        <row r="71">
          <cell r="K71">
            <v>1</v>
          </cell>
        </row>
        <row r="72">
          <cell r="K72">
            <v>1</v>
          </cell>
        </row>
        <row r="73">
          <cell r="K73">
            <v>1</v>
          </cell>
        </row>
        <row r="74">
          <cell r="K74">
            <v>1</v>
          </cell>
        </row>
        <row r="75">
          <cell r="K75">
            <v>1</v>
          </cell>
        </row>
        <row r="76">
          <cell r="K76">
            <v>1</v>
          </cell>
        </row>
        <row r="77">
          <cell r="K77">
            <v>1</v>
          </cell>
        </row>
        <row r="78">
          <cell r="K78">
            <v>1</v>
          </cell>
        </row>
        <row r="79">
          <cell r="K79">
            <v>1</v>
          </cell>
        </row>
        <row r="80">
          <cell r="K80">
            <v>1</v>
          </cell>
        </row>
        <row r="81">
          <cell r="K81">
            <v>1</v>
          </cell>
        </row>
        <row r="82">
          <cell r="K82">
            <v>1</v>
          </cell>
        </row>
        <row r="83">
          <cell r="K83">
            <v>1</v>
          </cell>
        </row>
        <row r="84">
          <cell r="K84">
            <v>1</v>
          </cell>
        </row>
        <row r="85">
          <cell r="K85">
            <v>1</v>
          </cell>
        </row>
        <row r="86">
          <cell r="K86">
            <v>1</v>
          </cell>
        </row>
        <row r="87">
          <cell r="K87">
            <v>1</v>
          </cell>
        </row>
        <row r="88">
          <cell r="K88">
            <v>1</v>
          </cell>
        </row>
        <row r="89">
          <cell r="K89">
            <v>1</v>
          </cell>
        </row>
        <row r="90">
          <cell r="K90">
            <v>1</v>
          </cell>
        </row>
        <row r="91">
          <cell r="K91">
            <v>1</v>
          </cell>
        </row>
        <row r="92">
          <cell r="K92">
            <v>1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  <row r="98">
          <cell r="K98">
            <v>0</v>
          </cell>
        </row>
        <row r="99">
          <cell r="K99">
            <v>0</v>
          </cell>
        </row>
        <row r="100">
          <cell r="K100">
            <v>0</v>
          </cell>
        </row>
        <row r="101">
          <cell r="K101">
            <v>0</v>
          </cell>
        </row>
        <row r="102">
          <cell r="K102">
            <v>0</v>
          </cell>
        </row>
        <row r="103">
          <cell r="K103">
            <v>0</v>
          </cell>
        </row>
        <row r="104">
          <cell r="K104">
            <v>0</v>
          </cell>
        </row>
        <row r="105">
          <cell r="K105">
            <v>0</v>
          </cell>
        </row>
        <row r="106">
          <cell r="K106">
            <v>0</v>
          </cell>
        </row>
        <row r="107">
          <cell r="K107">
            <v>0</v>
          </cell>
        </row>
        <row r="108">
          <cell r="K108">
            <v>0</v>
          </cell>
        </row>
        <row r="109">
          <cell r="K109">
            <v>0</v>
          </cell>
        </row>
        <row r="110">
          <cell r="K110">
            <v>0</v>
          </cell>
        </row>
        <row r="111">
          <cell r="K111">
            <v>0</v>
          </cell>
        </row>
        <row r="112">
          <cell r="K112">
            <v>0</v>
          </cell>
        </row>
        <row r="113">
          <cell r="K113">
            <v>0</v>
          </cell>
        </row>
        <row r="114">
          <cell r="K114">
            <v>0</v>
          </cell>
        </row>
        <row r="115">
          <cell r="K115">
            <v>0</v>
          </cell>
        </row>
        <row r="116">
          <cell r="K116">
            <v>0</v>
          </cell>
        </row>
        <row r="117">
          <cell r="K117">
            <v>0</v>
          </cell>
        </row>
        <row r="118">
          <cell r="K118">
            <v>0</v>
          </cell>
        </row>
        <row r="119">
          <cell r="K119">
            <v>0</v>
          </cell>
        </row>
        <row r="120">
          <cell r="K120">
            <v>0</v>
          </cell>
        </row>
        <row r="121">
          <cell r="K121">
            <v>0</v>
          </cell>
        </row>
        <row r="122">
          <cell r="K122">
            <v>0</v>
          </cell>
        </row>
        <row r="123">
          <cell r="K123">
            <v>0</v>
          </cell>
        </row>
        <row r="124">
          <cell r="K124">
            <v>0</v>
          </cell>
        </row>
        <row r="125">
          <cell r="K125">
            <v>0</v>
          </cell>
        </row>
        <row r="126">
          <cell r="K126">
            <v>0</v>
          </cell>
        </row>
        <row r="127">
          <cell r="K127">
            <v>0</v>
          </cell>
        </row>
        <row r="128">
          <cell r="K128">
            <v>0</v>
          </cell>
        </row>
        <row r="129">
          <cell r="K129">
            <v>0</v>
          </cell>
        </row>
        <row r="130">
          <cell r="K130">
            <v>0</v>
          </cell>
        </row>
        <row r="131">
          <cell r="K131">
            <v>0</v>
          </cell>
        </row>
        <row r="132">
          <cell r="K132">
            <v>0</v>
          </cell>
        </row>
        <row r="133">
          <cell r="K133">
            <v>0</v>
          </cell>
        </row>
        <row r="134">
          <cell r="K134">
            <v>0</v>
          </cell>
        </row>
        <row r="135">
          <cell r="K135">
            <v>0</v>
          </cell>
        </row>
        <row r="136">
          <cell r="K136">
            <v>0</v>
          </cell>
        </row>
        <row r="137">
          <cell r="K137">
            <v>0</v>
          </cell>
        </row>
        <row r="138">
          <cell r="K138">
            <v>0</v>
          </cell>
        </row>
        <row r="139">
          <cell r="K139">
            <v>0</v>
          </cell>
        </row>
        <row r="140">
          <cell r="K140">
            <v>0</v>
          </cell>
        </row>
        <row r="141">
          <cell r="K141">
            <v>0</v>
          </cell>
        </row>
        <row r="142">
          <cell r="K142">
            <v>0</v>
          </cell>
        </row>
        <row r="143">
          <cell r="K143">
            <v>0</v>
          </cell>
        </row>
        <row r="144">
          <cell r="K144">
            <v>0</v>
          </cell>
        </row>
        <row r="145">
          <cell r="K145">
            <v>0</v>
          </cell>
        </row>
        <row r="146">
          <cell r="K146">
            <v>0</v>
          </cell>
        </row>
        <row r="147">
          <cell r="K147">
            <v>0</v>
          </cell>
        </row>
        <row r="148">
          <cell r="K148">
            <v>0</v>
          </cell>
        </row>
        <row r="149">
          <cell r="K149">
            <v>0</v>
          </cell>
        </row>
        <row r="150">
          <cell r="K150">
            <v>0</v>
          </cell>
        </row>
        <row r="151">
          <cell r="K151">
            <v>0</v>
          </cell>
        </row>
        <row r="152">
          <cell r="K152">
            <v>0</v>
          </cell>
        </row>
        <row r="153">
          <cell r="K153">
            <v>0</v>
          </cell>
        </row>
        <row r="154">
          <cell r="K154">
            <v>0</v>
          </cell>
        </row>
        <row r="155">
          <cell r="K155">
            <v>0</v>
          </cell>
        </row>
        <row r="156">
          <cell r="K156">
            <v>0</v>
          </cell>
        </row>
        <row r="157">
          <cell r="K157">
            <v>0</v>
          </cell>
        </row>
        <row r="158">
          <cell r="K158">
            <v>0</v>
          </cell>
        </row>
        <row r="159">
          <cell r="K159">
            <v>0</v>
          </cell>
        </row>
        <row r="160">
          <cell r="K160">
            <v>0</v>
          </cell>
        </row>
        <row r="161">
          <cell r="K161">
            <v>0</v>
          </cell>
        </row>
        <row r="162">
          <cell r="K162">
            <v>0</v>
          </cell>
        </row>
        <row r="163">
          <cell r="K163">
            <v>0</v>
          </cell>
        </row>
        <row r="164">
          <cell r="K164">
            <v>0</v>
          </cell>
        </row>
        <row r="165">
          <cell r="K165">
            <v>0</v>
          </cell>
        </row>
        <row r="166">
          <cell r="K166">
            <v>0</v>
          </cell>
        </row>
        <row r="167">
          <cell r="K167">
            <v>0</v>
          </cell>
        </row>
        <row r="168">
          <cell r="K168">
            <v>0</v>
          </cell>
        </row>
        <row r="169">
          <cell r="K169">
            <v>0</v>
          </cell>
        </row>
        <row r="170">
          <cell r="K170">
            <v>0</v>
          </cell>
        </row>
        <row r="171">
          <cell r="K171">
            <v>0</v>
          </cell>
        </row>
        <row r="172">
          <cell r="K172">
            <v>0</v>
          </cell>
        </row>
        <row r="173">
          <cell r="K173">
            <v>0</v>
          </cell>
        </row>
        <row r="174">
          <cell r="K174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119aece5a637a38a/Intro%20to%20Data%20Science/Homework%20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 Quisno" refreshedDate="45758.997524768522" createdVersion="8" refreshedVersion="8" minRefreshableVersion="3" recordCount="173" xr:uid="{8D630219-3455-46FE-BAA7-DB7128A24145}">
  <cacheSource type="worksheet">
    <worksheetSource name="Ohio_State_Passing_Stats" r:id="rId2"/>
  </cacheSource>
  <cacheFields count="20">
    <cacheField name="Rk" numFmtId="0">
      <sharedItems containsSemiMixedTypes="0" containsString="0" containsNumber="1" containsInteger="1" minValue="1" maxValue="173"/>
    </cacheField>
    <cacheField name="Player" numFmtId="0">
      <sharedItems count="173">
        <s v="J.T. Barrett*"/>
        <s v="C.J. Stroud*"/>
        <s v="Justin Fields*"/>
        <s v="Terrelle Pryor*"/>
        <s v="Bobby Hoying"/>
        <s v="Troy Smith*"/>
        <s v="Dwayne Haskins*"/>
        <s v="Joe Germaine"/>
        <s v="Braxton Miller*"/>
        <s v="Art Schlichter"/>
        <s v="Jim Karsatos"/>
        <s v="Greg Frey"/>
        <s v="Steve Bellisari"/>
        <s v="Will Howard*"/>
        <s v="Todd Boeckman*"/>
        <s v="Mike Tomczak"/>
        <s v="Craig Krenzel"/>
        <s v="Kyle McCord*"/>
        <s v="Stanley Jackson"/>
        <s v="John Borton"/>
        <s v="Rex Kern"/>
        <s v="Cornelius Greene"/>
        <s v="Kenny Guiton*"/>
        <s v="Tom Tupa"/>
        <s v="Vic Janowicz"/>
        <s v="Cardale Jones*"/>
        <s v="Tom Matte"/>
        <s v="Don Unverferth"/>
        <s v="Pandel Savic"/>
        <s v="Dave Leggett"/>
        <s v="Scott McMullen"/>
        <s v="Tony Curcillo"/>
        <s v="Joe Sparma"/>
        <s v="William Long"/>
        <s v="Ron Maciejowski"/>
        <s v="Kent Graham"/>
        <s v="Bret Powers"/>
        <s v="Justin Zwick*"/>
        <s v="Joe Bauserman*"/>
        <s v="Jerry Krall"/>
        <s v="Frank Ellwood"/>
        <s v="Kevin Rusnak"/>
        <s v="Greg Hare"/>
        <s v="Chris Chugunov*"/>
        <s v="Kirk Herbstreit"/>
        <s v="Greg Castignola"/>
        <s v="Paul Sarringhaus"/>
        <s v="Les Horvath"/>
        <s v="Richard Doyle"/>
        <s v="Frank Kremblas"/>
        <s v="Rod Gerald"/>
        <s v="Tom Hoying"/>
        <s v="Devin Brown*"/>
        <s v="George Slusser"/>
        <s v="Tom Keane"/>
        <s v="Don Clark"/>
        <s v="Jerry Fields"/>
        <s v="John Mummey"/>
        <s v="Don Lamka"/>
        <s v="Dave Purdy"/>
        <s v="Brent Offenbecher"/>
        <s v="Michael Wiley"/>
        <s v="Mark Garcia"/>
        <s v="Austin Moherman"/>
        <s v="Joe Burrow*"/>
        <s v="Tommy James"/>
        <s v="Bob Dove"/>
        <s v="George Gordon"/>
        <s v="Alex Verdova"/>
        <s v="George Wertz"/>
        <s v="Fred Bruney"/>
        <s v="Bernie Skvarka"/>
        <s v="Dick Ellwood"/>
        <s v="Howard Cassady"/>
        <s v="Ralph Gage"/>
        <s v="William Mrukowski"/>
        <s v="Dave Brungard"/>
        <s v="Jim Pacenta"/>
        <s v="Bob Atha"/>
        <s v="Keith Byars"/>
        <s v="Cris Carter"/>
        <s v="Vince Workman"/>
        <s v="Jeff Graham"/>
        <s v="Ted Ginn Jr.*"/>
        <s v="Antonio Henton*"/>
        <s v="Devier Posey*"/>
        <s v="Jordan Hall*"/>
        <s v="Evan Spencer*"/>
        <s v="Tate Martell*"/>
        <s v="Gunnar Hoak*"/>
        <s v="Julian Sayin*"/>
        <s v="Richard Palmer"/>
        <s v="Bob Frye"/>
        <s v="Gene Fekete"/>
        <s v="Loren Staker"/>
        <s v="Cyril Lipaj"/>
        <s v="Bill Durtschi"/>
        <s v="Bob Brugge"/>
        <s v="Ollie Cline"/>
        <s v="Dick Flanagan"/>
        <s v="Dick Wandke"/>
        <s v="Gene Janecko"/>
        <s v="Richard Slager"/>
        <s v="George Spencer"/>
        <s v="William Doolittle"/>
        <s v="Joseph Whisler"/>
        <s v="Thomas Phillips"/>
        <s v="Rodney Swinehart"/>
        <s v="Pete Perini"/>
        <s v="Jimmy Clark"/>
        <s v="Karl Sturtz"/>
        <s v="Dick Widdoes"/>
        <s v="Tom Anderson"/>
        <s v="Ray Hamilton"/>
        <s v="Earle Gentile"/>
        <s v="David Gambill"/>
        <s v="William Wilks"/>
        <s v="Douglas Goodsell"/>
        <s v="William Petersen"/>
        <s v="William Booth"/>
        <s v="George Rosso"/>
        <s v="Andrew Okulovich"/>
        <s v="James Roseboro"/>
        <s v="Richard Young"/>
        <s v="Hubert Bobo"/>
        <s v="_ Robson"/>
        <s v="Don Sutherin"/>
        <s v="Frank Theis"/>
        <s v="Bob Lilenthal"/>
        <s v="Dick LeBeau"/>
        <s v="Bill Wentz"/>
        <s v="Dave Zuhars"/>
        <s v="Tom Crawford"/>
        <s v="John Dresser"/>
        <s v="Michael Benis"/>
        <s v="Jack Wallace"/>
        <s v="Paul Warfield"/>
        <s v="Nicholas Yonclas"/>
        <s v="Arnold Chonko"/>
        <s v="Tom Barrington"/>
        <s v="Arnold Fontes"/>
        <s v="Gerald Ehrsam"/>
        <s v="Mike Sensibaugh"/>
        <s v="Richard Galbos"/>
        <s v="Ross Moore"/>
        <s v="Bill Boyle"/>
        <s v="Steve Morrison"/>
        <s v="Jeff Logan"/>
        <s v="Mike Strahine"/>
        <s v="Gary Williams"/>
        <s v="Tim Spencer"/>
        <s v="Tim Stephens"/>
        <s v="Doug Smith"/>
        <s v="Scott Powell"/>
        <s v="Everett Ross"/>
        <s v="Jaymes Bryant"/>
        <s v="Marc Hicks"/>
        <s v="John Wagoner"/>
        <s v="Tim Williams"/>
        <s v="Joe Pickens"/>
        <s v="Pepe Pearson"/>
        <s v="Dan Stultz"/>
        <s v="Chad Cacchio"/>
        <s v="Jonathan Wells"/>
        <s v="B.J. Sander"/>
        <s v="Chris Vance"/>
        <s v="Rob Schoenhoft*"/>
        <s v="Cameron Johnston*"/>
        <s v="Jalin Marshall*"/>
        <s v="Drue Chrisman*"/>
        <s v="Jack Miller III*"/>
        <s v="Emeka Egbuka*"/>
        <s v="Lincoln Kienholz*"/>
      </sharedItems>
    </cacheField>
    <cacheField name="Yrs" numFmtId="0">
      <sharedItems containsSemiMixedTypes="0" containsString="0" containsNumber="1" containsInteger="1" minValue="1" maxValue="5"/>
    </cacheField>
    <cacheField name="From" numFmtId="0">
      <sharedItems containsSemiMixedTypes="0" containsString="0" containsNumber="1" containsInteger="1" minValue="1942" maxValue="2024"/>
    </cacheField>
    <cacheField name="To" numFmtId="0">
      <sharedItems containsSemiMixedTypes="0" containsString="0" containsNumber="1" containsInteger="1" minValue="1942" maxValue="2024"/>
    </cacheField>
    <cacheField name="G" numFmtId="0">
      <sharedItems containsSemiMixedTypes="0" containsString="0" containsNumber="1" containsInteger="1" minValue="1" maxValue="50"/>
    </cacheField>
    <cacheField name="Cmp" numFmtId="0">
      <sharedItems containsSemiMixedTypes="0" containsString="0" containsNumber="1" containsInteger="1" minValue="0" maxValue="769"/>
    </cacheField>
    <cacheField name="Att" numFmtId="0">
      <sharedItems containsSemiMixedTypes="0" containsString="0" containsNumber="1" containsInteger="1" minValue="1" maxValue="1211"/>
    </cacheField>
    <cacheField name="Cmp%" numFmtId="0">
      <sharedItems containsSemiMixedTypes="0" containsString="0" containsNumber="1" minValue="0" maxValue="100"/>
    </cacheField>
    <cacheField name="Yds" numFmtId="0">
      <sharedItems containsSemiMixedTypes="0" containsString="0" containsNumber="1" containsInteger="1" minValue="0" maxValue="9434"/>
    </cacheField>
    <cacheField name="TD" numFmtId="0">
      <sharedItems containsSemiMixedTypes="0" containsString="0" containsNumber="1" containsInteger="1" minValue="0" maxValue="104" count="32">
        <n v="104"/>
        <n v="85"/>
        <n v="63"/>
        <n v="57"/>
        <n v="54"/>
        <n v="52"/>
        <n v="44"/>
        <n v="36"/>
        <n v="33"/>
        <n v="31"/>
        <n v="30"/>
        <n v="28"/>
        <n v="27"/>
        <n v="21"/>
        <n v="19"/>
        <n v="17"/>
        <n v="16"/>
        <n v="15"/>
        <n v="14"/>
        <n v="13"/>
        <n v="12"/>
        <n v="11"/>
        <n v="9"/>
        <n v="8"/>
        <n v="7"/>
        <n v="6"/>
        <n v="5"/>
        <n v="4"/>
        <n v="3"/>
        <n v="2"/>
        <n v="1"/>
        <n v="0"/>
      </sharedItems>
    </cacheField>
    <cacheField name="TD%" numFmtId="0">
      <sharedItems containsSemiMixedTypes="0" containsString="0" containsNumber="1" minValue="0" maxValue="100"/>
    </cacheField>
    <cacheField name="Int" numFmtId="0">
      <sharedItems containsSemiMixedTypes="0" containsString="0" containsNumber="1" containsInteger="1" minValue="0" maxValue="42"/>
    </cacheField>
    <cacheField name="Int%" numFmtId="0">
      <sharedItems containsSemiMixedTypes="0" containsString="0" containsNumber="1" minValue="0" maxValue="100"/>
    </cacheField>
    <cacheField name="Y/A" numFmtId="0">
      <sharedItems containsSemiMixedTypes="0" containsString="0" containsNumber="1" minValue="0" maxValue="63"/>
    </cacheField>
    <cacheField name="AY/A" numFmtId="0">
      <sharedItems containsSemiMixedTypes="0" containsString="0" containsNumber="1" minValue="-45" maxValue="63"/>
    </cacheField>
    <cacheField name="Y/C" numFmtId="0">
      <sharedItems containsString="0" containsBlank="1" containsNumber="1" minValue="0" maxValue="63"/>
    </cacheField>
    <cacheField name="Y/G" numFmtId="0">
      <sharedItems containsSemiMixedTypes="0" containsString="0" containsNumber="1" minValue="0" maxValue="324.89999999999998"/>
    </cacheField>
    <cacheField name="Rate" numFmtId="0">
      <sharedItems containsSemiMixedTypes="0" containsString="0" containsNumber="1" minValue="-200" maxValue="757.6"/>
    </cacheField>
    <cacheField name="Player-addit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1"/>
    <x v="0"/>
    <n v="4"/>
    <n v="2014"/>
    <n v="2017"/>
    <n v="50"/>
    <n v="769"/>
    <n v="1211"/>
    <n v="63.5"/>
    <n v="9434"/>
    <x v="0"/>
    <n v="8.6"/>
    <n v="30"/>
    <n v="2.5"/>
    <n v="7.8"/>
    <n v="8.39"/>
    <n v="12.3"/>
    <n v="188.7"/>
    <n v="152.30000000000001"/>
    <s v="jt-barrett-1"/>
  </r>
  <r>
    <n v="2"/>
    <x v="1"/>
    <n v="3"/>
    <n v="2020"/>
    <n v="2022"/>
    <n v="25"/>
    <n v="575"/>
    <n v="830"/>
    <n v="69.3"/>
    <n v="8123"/>
    <x v="1"/>
    <n v="10.199999999999999"/>
    <n v="12"/>
    <n v="1.4"/>
    <n v="9.8000000000000007"/>
    <n v="11.18"/>
    <n v="14.1"/>
    <n v="324.89999999999998"/>
    <n v="182.4"/>
    <s v="cj-stroud-1"/>
  </r>
  <r>
    <n v="11"/>
    <x v="2"/>
    <n v="2"/>
    <n v="2019"/>
    <n v="2020"/>
    <n v="22"/>
    <n v="396"/>
    <n v="579"/>
    <n v="68.400000000000006"/>
    <n v="5373"/>
    <x v="2"/>
    <n v="10.9"/>
    <n v="9"/>
    <n v="1.6"/>
    <n v="9.3000000000000007"/>
    <n v="10.76"/>
    <n v="13.6"/>
    <n v="244.2"/>
    <n v="179.1"/>
    <s v="justin-fields-2"/>
  </r>
  <r>
    <n v="5"/>
    <x v="3"/>
    <n v="3"/>
    <n v="2008"/>
    <n v="2010"/>
    <n v="39"/>
    <n v="477"/>
    <n v="783"/>
    <n v="60.9"/>
    <n v="6177"/>
    <x v="3"/>
    <n v="7.3"/>
    <n v="26"/>
    <n v="3.3"/>
    <n v="7.9"/>
    <n v="7.85"/>
    <n v="12.9"/>
    <n v="158.4"/>
    <n v="144.6"/>
    <s v="terrelle-pryor-1"/>
  </r>
  <r>
    <n v="3"/>
    <x v="4"/>
    <n v="4"/>
    <n v="1992"/>
    <n v="1995"/>
    <n v="42"/>
    <n v="463"/>
    <n v="782"/>
    <n v="59.2"/>
    <n v="6751"/>
    <x v="4"/>
    <n v="6.9"/>
    <n v="33"/>
    <n v="4.2"/>
    <n v="8.6"/>
    <n v="8.1199999999999992"/>
    <n v="14.6"/>
    <n v="160.69999999999999"/>
    <n v="146.1"/>
    <s v="bobby-hoying-1"/>
  </r>
  <r>
    <n v="8"/>
    <x v="5"/>
    <n v="4"/>
    <n v="2003"/>
    <n v="2006"/>
    <n v="32"/>
    <n v="420"/>
    <n v="670"/>
    <n v="62.7"/>
    <n v="5720"/>
    <x v="4"/>
    <n v="8.1"/>
    <n v="13"/>
    <n v="1.9"/>
    <n v="8.5"/>
    <n v="9.2799999999999994"/>
    <n v="13.6"/>
    <n v="178.8"/>
    <n v="157.1"/>
    <s v="troy-smith-1"/>
  </r>
  <r>
    <n v="10"/>
    <x v="6"/>
    <n v="2"/>
    <n v="2017"/>
    <n v="2018"/>
    <n v="22"/>
    <n v="413"/>
    <n v="590"/>
    <n v="70"/>
    <n v="5396"/>
    <x v="4"/>
    <n v="9.1999999999999993"/>
    <n v="9"/>
    <n v="1.5"/>
    <n v="9.1"/>
    <n v="10.29"/>
    <n v="13.1"/>
    <n v="245.3"/>
    <n v="174"/>
    <s v="dwayne-haskins-1"/>
  </r>
  <r>
    <n v="7"/>
    <x v="7"/>
    <n v="3"/>
    <n v="1996"/>
    <n v="1998"/>
    <n v="34"/>
    <n v="399"/>
    <n v="660"/>
    <n v="60.5"/>
    <n v="5844"/>
    <x v="5"/>
    <n v="7.9"/>
    <n v="18"/>
    <n v="2.7"/>
    <n v="8.9"/>
    <n v="9.1999999999999993"/>
    <n v="14.6"/>
    <n v="171.9"/>
    <n v="155.4"/>
    <s v="joe-germaine-1"/>
  </r>
  <r>
    <n v="12"/>
    <x v="8"/>
    <n v="5"/>
    <n v="2011"/>
    <n v="2015"/>
    <n v="49"/>
    <n v="396"/>
    <n v="667"/>
    <n v="59.4"/>
    <n v="5295"/>
    <x v="5"/>
    <n v="7.8"/>
    <n v="17"/>
    <n v="2.5"/>
    <n v="7.9"/>
    <n v="8.35"/>
    <n v="13.4"/>
    <n v="108.1"/>
    <n v="146.69999999999999"/>
    <s v="braxton-miller-1"/>
  </r>
  <r>
    <n v="4"/>
    <x v="9"/>
    <n v="4"/>
    <n v="1978"/>
    <n v="1981"/>
    <n v="44"/>
    <n v="439"/>
    <n v="849"/>
    <n v="51.7"/>
    <n v="6584"/>
    <x v="6"/>
    <n v="5.2"/>
    <n v="42"/>
    <n v="4.9000000000000004"/>
    <n v="7.8"/>
    <n v="6.57"/>
    <n v="15"/>
    <n v="149.6"/>
    <n v="124.1"/>
    <s v="art-schlichter-1"/>
  </r>
  <r>
    <n v="14"/>
    <x v="10"/>
    <n v="4"/>
    <n v="1983"/>
    <n v="1986"/>
    <n v="41"/>
    <n v="330"/>
    <n v="573"/>
    <n v="57.6"/>
    <n v="4698"/>
    <x v="7"/>
    <n v="6.3"/>
    <n v="19"/>
    <n v="3.3"/>
    <n v="8.1999999999999993"/>
    <n v="7.96"/>
    <n v="14.2"/>
    <n v="114.6"/>
    <n v="140.6"/>
    <s v="jim-karsatos-1"/>
  </r>
  <r>
    <n v="6"/>
    <x v="11"/>
    <n v="4"/>
    <n v="1987"/>
    <n v="1990"/>
    <n v="44"/>
    <n v="417"/>
    <n v="777"/>
    <n v="53.7"/>
    <n v="5974"/>
    <x v="7"/>
    <n v="4.5999999999999996"/>
    <n v="35"/>
    <n v="4.5"/>
    <n v="7.7"/>
    <n v="6.59"/>
    <n v="14.3"/>
    <n v="135.80000000000001"/>
    <n v="124.5"/>
    <s v="greg-frey-1"/>
  </r>
  <r>
    <n v="9"/>
    <x v="12"/>
    <n v="4"/>
    <n v="1998"/>
    <n v="2001"/>
    <n v="43"/>
    <n v="351"/>
    <n v="699"/>
    <n v="50.2"/>
    <n v="5401"/>
    <x v="8"/>
    <n v="4.7"/>
    <n v="27"/>
    <n v="3.9"/>
    <n v="7.7"/>
    <n v="6.93"/>
    <n v="15.4"/>
    <n v="125.6"/>
    <n v="123"/>
    <s v="steve-bellisari-1"/>
  </r>
  <r>
    <n v="16"/>
    <x v="13"/>
    <n v="1"/>
    <n v="2024"/>
    <n v="2024"/>
    <n v="15"/>
    <n v="292"/>
    <n v="402"/>
    <n v="72.599999999999994"/>
    <n v="3779"/>
    <x v="8"/>
    <n v="8.1999999999999993"/>
    <n v="10"/>
    <n v="2.5"/>
    <n v="9.4"/>
    <n v="9.92"/>
    <n v="12.9"/>
    <n v="251.9"/>
    <n v="173.7"/>
    <s v="will-howard-2"/>
  </r>
  <r>
    <n v="18"/>
    <x v="14"/>
    <n v="4"/>
    <n v="2005"/>
    <n v="2008"/>
    <n v="28"/>
    <n v="255"/>
    <n v="402"/>
    <n v="63.4"/>
    <n v="3085"/>
    <x v="9"/>
    <n v="7.7"/>
    <n v="16"/>
    <n v="4"/>
    <n v="7.7"/>
    <n v="7.43"/>
    <n v="12.1"/>
    <n v="110.2"/>
    <n v="145.4"/>
    <s v="todd-boeckman-1"/>
  </r>
  <r>
    <n v="13"/>
    <x v="15"/>
    <n v="4"/>
    <n v="1981"/>
    <n v="1984"/>
    <n v="44"/>
    <n v="326"/>
    <n v="588"/>
    <n v="55.4"/>
    <n v="4921"/>
    <x v="10"/>
    <n v="5.0999999999999996"/>
    <n v="32"/>
    <n v="5.4"/>
    <n v="8.4"/>
    <n v="6.94"/>
    <n v="15.1"/>
    <n v="111.8"/>
    <n v="131.69999999999999"/>
    <s v="mike-tomczak-1"/>
  </r>
  <r>
    <n v="15"/>
    <x v="16"/>
    <n v="4"/>
    <n v="2000"/>
    <n v="2003"/>
    <n v="32"/>
    <n v="326"/>
    <n v="574"/>
    <n v="56.8"/>
    <n v="4473"/>
    <x v="11"/>
    <n v="4.9000000000000004"/>
    <n v="20"/>
    <n v="3.5"/>
    <n v="7.8"/>
    <n v="7.2"/>
    <n v="13.7"/>
    <n v="139.80000000000001"/>
    <n v="131.4"/>
    <s v="craig-krenzel-1"/>
  </r>
  <r>
    <n v="17"/>
    <x v="17"/>
    <n v="3"/>
    <n v="2021"/>
    <n v="2023"/>
    <n v="24"/>
    <n v="270"/>
    <n v="406"/>
    <n v="66.5"/>
    <n v="3776"/>
    <x v="12"/>
    <n v="6.7"/>
    <n v="8"/>
    <n v="2"/>
    <n v="9.3000000000000007"/>
    <n v="9.74"/>
    <n v="14"/>
    <n v="157.30000000000001"/>
    <n v="162.6"/>
    <s v="kyle-mccord-1"/>
  </r>
  <r>
    <n v="19"/>
    <x v="18"/>
    <n v="4"/>
    <n v="1994"/>
    <n v="1997"/>
    <n v="41"/>
    <n v="182"/>
    <n v="329"/>
    <n v="55.3"/>
    <n v="2567"/>
    <x v="13"/>
    <n v="6.4"/>
    <n v="8"/>
    <n v="2.4"/>
    <n v="7.8"/>
    <n v="7.98"/>
    <n v="14.1"/>
    <n v="62.6"/>
    <n v="137.1"/>
    <s v="stanley-jackson-1"/>
  </r>
  <r>
    <n v="25"/>
    <x v="19"/>
    <n v="3"/>
    <n v="1952"/>
    <n v="1954"/>
    <n v="27"/>
    <n v="167"/>
    <n v="293"/>
    <n v="57"/>
    <n v="2129"/>
    <x v="14"/>
    <n v="6.5"/>
    <n v="18"/>
    <n v="6.1"/>
    <n v="7.3"/>
    <n v="5.8"/>
    <n v="12.7"/>
    <n v="78.900000000000006"/>
    <n v="127.1"/>
    <s v="john-borton-1"/>
  </r>
  <r>
    <n v="21"/>
    <x v="20"/>
    <n v="3"/>
    <n v="1968"/>
    <n v="1970"/>
    <n v="25"/>
    <n v="175"/>
    <n v="336"/>
    <n v="52.1"/>
    <n v="2303"/>
    <x v="15"/>
    <n v="5.0999999999999996"/>
    <n v="23"/>
    <n v="6.8"/>
    <n v="6.9"/>
    <n v="4.79"/>
    <n v="13.2"/>
    <n v="92.1"/>
    <n v="112.7"/>
    <s v="rex-kern-1"/>
  </r>
  <r>
    <n v="26"/>
    <x v="21"/>
    <n v="4"/>
    <n v="1972"/>
    <n v="1975"/>
    <n v="42"/>
    <n v="125"/>
    <n v="225"/>
    <n v="55.6"/>
    <n v="2036"/>
    <x v="15"/>
    <n v="7.6"/>
    <n v="16"/>
    <n v="7.1"/>
    <n v="9"/>
    <n v="7.36"/>
    <n v="16.3"/>
    <n v="48.5"/>
    <n v="142.30000000000001"/>
    <s v="cornelius-greene-1"/>
  </r>
  <r>
    <n v="38"/>
    <x v="22"/>
    <n v="3"/>
    <n v="2010"/>
    <n v="2013"/>
    <n v="22"/>
    <n v="89"/>
    <n v="134"/>
    <n v="66.400000000000006"/>
    <n v="893"/>
    <x v="16"/>
    <n v="11.9"/>
    <n v="4"/>
    <n v="3"/>
    <n v="6.7"/>
    <n v="7.71"/>
    <n v="10"/>
    <n v="40.6"/>
    <n v="155.80000000000001"/>
    <s v="kenny-guiton-1"/>
  </r>
  <r>
    <n v="23"/>
    <x v="23"/>
    <n v="4"/>
    <n v="1984"/>
    <n v="1987"/>
    <n v="34"/>
    <n v="168"/>
    <n v="296"/>
    <n v="56.8"/>
    <n v="2229"/>
    <x v="17"/>
    <n v="5.0999999999999996"/>
    <n v="11"/>
    <n v="3.7"/>
    <n v="7.5"/>
    <n v="6.87"/>
    <n v="13.3"/>
    <n v="65.599999999999994"/>
    <n v="129.30000000000001"/>
    <s v="tom-tupa-1"/>
  </r>
  <r>
    <n v="42"/>
    <x v="24"/>
    <n v="3"/>
    <n v="1949"/>
    <n v="1951"/>
    <n v="27"/>
    <n v="41"/>
    <n v="106"/>
    <n v="38.700000000000003"/>
    <n v="685"/>
    <x v="18"/>
    <n v="13.2"/>
    <n v="10"/>
    <n v="9.4"/>
    <n v="6.5"/>
    <n v="4.8600000000000003"/>
    <n v="16.7"/>
    <n v="25.4"/>
    <n v="117.7"/>
    <s v="vic-janowicz-1"/>
  </r>
  <r>
    <n v="24"/>
    <x v="25"/>
    <n v="3"/>
    <n v="2013"/>
    <n v="2015"/>
    <n v="23"/>
    <n v="160"/>
    <n v="257"/>
    <n v="62.3"/>
    <n v="2209"/>
    <x v="19"/>
    <n v="5.0999999999999996"/>
    <n v="7"/>
    <n v="2.7"/>
    <n v="8.6"/>
    <n v="8.3800000000000008"/>
    <n v="13.8"/>
    <n v="96"/>
    <n v="145.69999999999999"/>
    <s v="cardale-jones-1"/>
  </r>
  <r>
    <n v="33"/>
    <x v="26"/>
    <n v="3"/>
    <n v="1958"/>
    <n v="1960"/>
    <n v="18"/>
    <n v="78"/>
    <n v="146"/>
    <n v="53.4"/>
    <n v="1176"/>
    <x v="20"/>
    <n v="8.1999999999999993"/>
    <n v="6"/>
    <n v="4.0999999999999996"/>
    <n v="8.1"/>
    <n v="7.85"/>
    <n v="15.1"/>
    <n v="65.3"/>
    <n v="140"/>
    <s v="tom-matte-1"/>
  </r>
  <r>
    <n v="20"/>
    <x v="27"/>
    <n v="3"/>
    <n v="1963"/>
    <n v="1965"/>
    <n v="27"/>
    <n v="220"/>
    <n v="468"/>
    <n v="47"/>
    <n v="2518"/>
    <x v="20"/>
    <n v="2.6"/>
    <n v="26"/>
    <n v="5.6"/>
    <n v="5.4"/>
    <n v="3.39"/>
    <n v="11.4"/>
    <n v="93.3"/>
    <n v="89.6"/>
    <s v="don-unverferth-1"/>
  </r>
  <r>
    <n v="30"/>
    <x v="28"/>
    <n v="3"/>
    <n v="1947"/>
    <n v="1949"/>
    <n v="26"/>
    <n v="87"/>
    <n v="194"/>
    <n v="44.8"/>
    <n v="1260"/>
    <x v="21"/>
    <n v="5.7"/>
    <n v="16"/>
    <n v="8.1999999999999993"/>
    <n v="6.5"/>
    <n v="3.92"/>
    <n v="14.5"/>
    <n v="48.5"/>
    <n v="101.6"/>
    <s v="pandel-savic-1"/>
  </r>
  <r>
    <n v="36"/>
    <x v="29"/>
    <n v="4"/>
    <n v="1951"/>
    <n v="1954"/>
    <n v="27"/>
    <n v="81"/>
    <n v="177"/>
    <n v="45.8"/>
    <n v="1046"/>
    <x v="22"/>
    <n v="5.0999999999999996"/>
    <n v="17"/>
    <n v="9.6"/>
    <n v="5.9"/>
    <n v="2.6"/>
    <n v="12.9"/>
    <n v="38.700000000000003"/>
    <n v="93"/>
    <s v="dave-leggett-1"/>
  </r>
  <r>
    <n v="35"/>
    <x v="30"/>
    <n v="4"/>
    <n v="2000"/>
    <n v="2003"/>
    <n v="20"/>
    <n v="87"/>
    <n v="141"/>
    <n v="61.7"/>
    <n v="1103"/>
    <x v="22"/>
    <n v="6.4"/>
    <n v="4"/>
    <n v="2.8"/>
    <n v="7.8"/>
    <n v="7.82"/>
    <n v="12.7"/>
    <n v="55.2"/>
    <n v="142.80000000000001"/>
    <s v="scott-mcmullen-1"/>
  </r>
  <r>
    <n v="31"/>
    <x v="31"/>
    <n v="2"/>
    <n v="1950"/>
    <n v="1951"/>
    <n v="18"/>
    <n v="76"/>
    <n v="171"/>
    <n v="44.4"/>
    <n v="1249"/>
    <x v="23"/>
    <n v="4.7"/>
    <n v="16"/>
    <n v="9.4"/>
    <n v="7.3"/>
    <n v="4.03"/>
    <n v="16.399999999999999"/>
    <n v="69.400000000000006"/>
    <n v="102.5"/>
    <s v="tony-curcillo-1"/>
  </r>
  <r>
    <n v="43"/>
    <x v="32"/>
    <n v="2"/>
    <n v="1961"/>
    <n v="1962"/>
    <n v="18"/>
    <n v="46"/>
    <n v="109"/>
    <n v="42.2"/>
    <n v="629"/>
    <x v="23"/>
    <n v="7.3"/>
    <n v="7"/>
    <n v="6.4"/>
    <n v="5.8"/>
    <n v="4.3499999999999996"/>
    <n v="13.7"/>
    <n v="34.9"/>
    <n v="102.1"/>
    <s v="joe-sparma-1"/>
  </r>
  <r>
    <n v="28"/>
    <x v="33"/>
    <n v="3"/>
    <n v="1966"/>
    <n v="1968"/>
    <n v="27"/>
    <n v="154"/>
    <n v="308"/>
    <n v="50"/>
    <n v="1768"/>
    <x v="23"/>
    <n v="2.6"/>
    <n v="18"/>
    <n v="5.8"/>
    <n v="5.7"/>
    <n v="3.63"/>
    <n v="11.5"/>
    <n v="65.5"/>
    <n v="95.1"/>
    <s v="william-long-1"/>
  </r>
  <r>
    <n v="37"/>
    <x v="34"/>
    <n v="3"/>
    <n v="1968"/>
    <n v="1970"/>
    <n v="24"/>
    <n v="60"/>
    <n v="126"/>
    <n v="47.6"/>
    <n v="977"/>
    <x v="24"/>
    <n v="5.6"/>
    <n v="12"/>
    <n v="9.5"/>
    <n v="7.8"/>
    <n v="4.58"/>
    <n v="16.3"/>
    <n v="40.700000000000003"/>
    <n v="112"/>
    <s v="ron-maciejowski-1"/>
  </r>
  <r>
    <n v="32"/>
    <x v="35"/>
    <n v="2"/>
    <n v="1990"/>
    <n v="1991"/>
    <n v="21"/>
    <n v="92"/>
    <n v="175"/>
    <n v="52.6"/>
    <n v="1189"/>
    <x v="24"/>
    <n v="4"/>
    <n v="8"/>
    <n v="4.5999999999999996"/>
    <n v="6.8"/>
    <n v="5.54"/>
    <n v="12.9"/>
    <n v="56.6"/>
    <n v="113.7"/>
    <s v="kent-graham-1"/>
  </r>
  <r>
    <n v="41"/>
    <x v="36"/>
    <n v="1"/>
    <n v="1993"/>
    <n v="1993"/>
    <n v="9"/>
    <n v="44"/>
    <n v="75"/>
    <n v="58.7"/>
    <n v="715"/>
    <x v="24"/>
    <n v="9.3000000000000007"/>
    <n v="6"/>
    <n v="8"/>
    <n v="9.5"/>
    <n v="7.8"/>
    <n v="16.3"/>
    <n v="79.400000000000006"/>
    <n v="153.5"/>
    <s v="bret-powers-1"/>
  </r>
  <r>
    <n v="27"/>
    <x v="37"/>
    <n v="4"/>
    <n v="2003"/>
    <n v="2006"/>
    <n v="25"/>
    <n v="158"/>
    <n v="276"/>
    <n v="57.2"/>
    <n v="1779"/>
    <x v="24"/>
    <n v="2.5"/>
    <n v="7"/>
    <n v="2.5"/>
    <n v="6.4"/>
    <n v="5.81"/>
    <n v="11.3"/>
    <n v="71.2"/>
    <n v="114.7"/>
    <s v="justin-zwick-1"/>
  </r>
  <r>
    <n v="39"/>
    <x v="38"/>
    <n v="4"/>
    <n v="2008"/>
    <n v="2011"/>
    <n v="30"/>
    <n v="65"/>
    <n v="133"/>
    <n v="48.9"/>
    <n v="812"/>
    <x v="24"/>
    <n v="5.3"/>
    <n v="2"/>
    <n v="1.5"/>
    <n v="6.1"/>
    <n v="6.48"/>
    <n v="12.5"/>
    <n v="27.1"/>
    <n v="114.5"/>
    <s v="joe-bauserman-1"/>
  </r>
  <r>
    <n v="58"/>
    <x v="39"/>
    <n v="3"/>
    <n v="1946"/>
    <n v="1949"/>
    <n v="25"/>
    <n v="21"/>
    <n v="49"/>
    <n v="42.9"/>
    <n v="301"/>
    <x v="25"/>
    <n v="12.2"/>
    <n v="4"/>
    <n v="8.1999999999999993"/>
    <n v="6.1"/>
    <n v="4.92"/>
    <n v="14.3"/>
    <n v="12"/>
    <n v="118.5"/>
    <s v="jerry-krall-1"/>
  </r>
  <r>
    <n v="71"/>
    <x v="40"/>
    <n v="2"/>
    <n v="1955"/>
    <n v="1956"/>
    <n v="18"/>
    <n v="16"/>
    <n v="43"/>
    <n v="37.200000000000003"/>
    <n v="146"/>
    <x v="25"/>
    <n v="14"/>
    <n v="3"/>
    <n v="7"/>
    <n v="3.4"/>
    <n v="3.05"/>
    <n v="9.1"/>
    <n v="8.1"/>
    <n v="97.8"/>
    <s v="frank-ellwood-1"/>
  </r>
  <r>
    <n v="45"/>
    <x v="41"/>
    <n v="3"/>
    <n v="1967"/>
    <n v="1969"/>
    <n v="13"/>
    <n v="39"/>
    <n v="75"/>
    <n v="52"/>
    <n v="536"/>
    <x v="25"/>
    <n v="8"/>
    <n v="3"/>
    <n v="4"/>
    <n v="7.1"/>
    <n v="6.95"/>
    <n v="13.7"/>
    <n v="41.2"/>
    <n v="130.4"/>
    <s v="kevin-rusnak-1"/>
  </r>
  <r>
    <n v="29"/>
    <x v="42"/>
    <n v="3"/>
    <n v="1971"/>
    <n v="1973"/>
    <n v="28"/>
    <n v="87"/>
    <n v="192"/>
    <n v="45.3"/>
    <n v="1274"/>
    <x v="25"/>
    <n v="3.1"/>
    <n v="15"/>
    <n v="7.8"/>
    <n v="6.6"/>
    <n v="3.74"/>
    <n v="14.6"/>
    <n v="45.5"/>
    <n v="95.7"/>
    <s v="greg-hare-1"/>
  </r>
  <r>
    <n v="60"/>
    <x v="43"/>
    <n v="2"/>
    <n v="2018"/>
    <n v="2019"/>
    <n v="10"/>
    <n v="26"/>
    <n v="43"/>
    <n v="60.5"/>
    <n v="286"/>
    <x v="25"/>
    <n v="14"/>
    <n v="0"/>
    <n v="0"/>
    <n v="6.7"/>
    <n v="9.44"/>
    <n v="11"/>
    <n v="28.6"/>
    <n v="162.4"/>
    <s v="chris-chugunov-1"/>
  </r>
  <r>
    <n v="22"/>
    <x v="44"/>
    <n v="4"/>
    <n v="1989"/>
    <n v="1992"/>
    <n v="38"/>
    <n v="183"/>
    <n v="317"/>
    <n v="57.7"/>
    <n v="2263"/>
    <x v="26"/>
    <n v="1.6"/>
    <n v="11"/>
    <n v="3.5"/>
    <n v="7.1"/>
    <n v="5.89"/>
    <n v="12.4"/>
    <n v="59.6"/>
    <n v="116"/>
    <s v="kirk-herbstreit-1"/>
  </r>
  <r>
    <n v="64"/>
    <x v="45"/>
    <n v="4"/>
    <n v="1976"/>
    <n v="1979"/>
    <n v="41"/>
    <n v="18"/>
    <n v="40"/>
    <n v="45"/>
    <n v="231"/>
    <x v="27"/>
    <n v="10"/>
    <n v="0"/>
    <n v="0"/>
    <n v="5.8"/>
    <n v="7.78"/>
    <n v="12.8"/>
    <n v="5.6"/>
    <n v="126.5"/>
    <s v="greg-castignola-1"/>
  </r>
  <r>
    <n v="46"/>
    <x v="46"/>
    <n v="1"/>
    <n v="1942"/>
    <n v="1942"/>
    <n v="10"/>
    <n v="20"/>
    <n v="41"/>
    <n v="48.8"/>
    <n v="517"/>
    <x v="28"/>
    <n v="7.3"/>
    <n v="3"/>
    <n v="7.3"/>
    <n v="12.6"/>
    <n v="10.78"/>
    <n v="25.9"/>
    <n v="51.7"/>
    <n v="164.2"/>
    <s v="paul-sarringhaus-1"/>
  </r>
  <r>
    <n v="47"/>
    <x v="47"/>
    <n v="2"/>
    <n v="1942"/>
    <n v="1944"/>
    <n v="19"/>
    <n v="25"/>
    <n v="50"/>
    <n v="50"/>
    <n v="509"/>
    <x v="28"/>
    <n v="6"/>
    <n v="5"/>
    <n v="10"/>
    <n v="10.199999999999999"/>
    <n v="6.88"/>
    <n v="20.399999999999999"/>
    <n v="26.8"/>
    <n v="135.30000000000001"/>
    <s v="les-horvath-1"/>
  </r>
  <r>
    <n v="62"/>
    <x v="48"/>
    <n v="3"/>
    <n v="1949"/>
    <n v="1952"/>
    <n v="18"/>
    <n v="18"/>
    <n v="33"/>
    <n v="54.5"/>
    <n v="265"/>
    <x v="28"/>
    <n v="9.1"/>
    <n v="3"/>
    <n v="9.1"/>
    <n v="8"/>
    <n v="5.76"/>
    <n v="14.7"/>
    <n v="14.7"/>
    <n v="133.80000000000001"/>
    <s v="richard-doyle-1"/>
  </r>
  <r>
    <n v="44"/>
    <x v="49"/>
    <n v="3"/>
    <n v="1956"/>
    <n v="1958"/>
    <n v="27"/>
    <n v="34"/>
    <n v="89"/>
    <n v="38.200000000000003"/>
    <n v="559"/>
    <x v="28"/>
    <n v="3.4"/>
    <n v="4"/>
    <n v="4.5"/>
    <n v="6.3"/>
    <n v="4.93"/>
    <n v="16.399999999999999"/>
    <n v="20.7"/>
    <n v="93.1"/>
    <s v="frank-kremblas-1"/>
  </r>
  <r>
    <n v="34"/>
    <x v="50"/>
    <n v="4"/>
    <n v="1975"/>
    <n v="1978"/>
    <n v="42"/>
    <n v="74"/>
    <n v="135"/>
    <n v="54.8"/>
    <n v="1111"/>
    <x v="28"/>
    <n v="2.2000000000000002"/>
    <n v="12"/>
    <n v="8.9"/>
    <n v="8.1999999999999993"/>
    <n v="4.67"/>
    <n v="15"/>
    <n v="26.5"/>
    <n v="113.5"/>
    <s v="rod-gerald-1"/>
  </r>
  <r>
    <n v="88"/>
    <x v="51"/>
    <n v="4"/>
    <n v="1994"/>
    <n v="1997"/>
    <n v="19"/>
    <n v="6"/>
    <n v="16"/>
    <n v="37.5"/>
    <n v="82"/>
    <x v="28"/>
    <n v="18.8"/>
    <n v="0"/>
    <n v="0"/>
    <n v="5.0999999999999996"/>
    <n v="8.8800000000000008"/>
    <n v="13.7"/>
    <n v="4.3"/>
    <n v="142.4"/>
    <s v="tom-hoying-1"/>
  </r>
  <r>
    <n v="55"/>
    <x v="52"/>
    <n v="3"/>
    <n v="2022"/>
    <n v="2024"/>
    <n v="15"/>
    <n v="27"/>
    <n v="48"/>
    <n v="56.3"/>
    <n v="331"/>
    <x v="28"/>
    <n v="6.3"/>
    <n v="1"/>
    <n v="2.1"/>
    <n v="6.9"/>
    <n v="7.21"/>
    <n v="12.3"/>
    <n v="22.1"/>
    <n v="130.6"/>
    <s v="devin-brown-2"/>
  </r>
  <r>
    <n v="66"/>
    <x v="53"/>
    <n v="1"/>
    <n v="1942"/>
    <n v="1942"/>
    <n v="8"/>
    <n v="12"/>
    <n v="30"/>
    <n v="40"/>
    <n v="211"/>
    <x v="29"/>
    <n v="6.7"/>
    <n v="3"/>
    <n v="10"/>
    <n v="7"/>
    <n v="3.87"/>
    <n v="17.600000000000001"/>
    <n v="26.4"/>
    <n v="101.1"/>
    <s v="george-slusser-1"/>
  </r>
  <r>
    <n v="68"/>
    <x v="54"/>
    <n v="1"/>
    <n v="1944"/>
    <n v="1944"/>
    <n v="9"/>
    <n v="9"/>
    <n v="35"/>
    <n v="25.7"/>
    <n v="164"/>
    <x v="29"/>
    <n v="5.7"/>
    <n v="2"/>
    <n v="5.7"/>
    <n v="4.7"/>
    <n v="3.26"/>
    <n v="18.2"/>
    <n v="18.2"/>
    <n v="72.5"/>
    <s v="tom-keane-1"/>
  </r>
  <r>
    <n v="72"/>
    <x v="55"/>
    <n v="3"/>
    <n v="1956"/>
    <n v="1958"/>
    <n v="16"/>
    <n v="8"/>
    <n v="13"/>
    <n v="61.5"/>
    <n v="139"/>
    <x v="29"/>
    <n v="15.4"/>
    <n v="1"/>
    <n v="7.7"/>
    <n v="10.7"/>
    <n v="10.31"/>
    <n v="17.399999999999999"/>
    <n v="8.6999999999999993"/>
    <n v="186.7"/>
    <s v="don-clark-3"/>
  </r>
  <r>
    <n v="50"/>
    <x v="56"/>
    <n v="2"/>
    <n v="1958"/>
    <n v="1959"/>
    <n v="18"/>
    <n v="29"/>
    <n v="71"/>
    <n v="40.799999999999997"/>
    <n v="431"/>
    <x v="29"/>
    <n v="2.8"/>
    <n v="7"/>
    <n v="9.9"/>
    <n v="6.1"/>
    <n v="2.2000000000000002"/>
    <n v="14.9"/>
    <n v="23.9"/>
    <n v="81.400000000000006"/>
    <s v="jerry-fields-1"/>
  </r>
  <r>
    <n v="70"/>
    <x v="57"/>
    <n v="3"/>
    <n v="1960"/>
    <n v="1962"/>
    <n v="22"/>
    <n v="7"/>
    <n v="19"/>
    <n v="36.799999999999997"/>
    <n v="148"/>
    <x v="29"/>
    <n v="10.5"/>
    <n v="0"/>
    <n v="0"/>
    <n v="7.8"/>
    <n v="9.89"/>
    <n v="21.1"/>
    <n v="6.7"/>
    <n v="137"/>
    <s v="john-mummey-1"/>
  </r>
  <r>
    <n v="40"/>
    <x v="58"/>
    <n v="1"/>
    <n v="1971"/>
    <n v="1971"/>
    <n v="9"/>
    <n v="54"/>
    <n v="107"/>
    <n v="50.5"/>
    <n v="718"/>
    <x v="29"/>
    <n v="1.9"/>
    <n v="5"/>
    <n v="4.7"/>
    <n v="6.7"/>
    <n v="4.9800000000000004"/>
    <n v="13.3"/>
    <n v="79.8"/>
    <n v="103.7"/>
    <s v="don-lamka-1"/>
  </r>
  <r>
    <n v="85"/>
    <x v="59"/>
    <n v="3"/>
    <n v="1972"/>
    <n v="1974"/>
    <n v="31"/>
    <n v="8"/>
    <n v="18"/>
    <n v="44.4"/>
    <n v="93"/>
    <x v="29"/>
    <n v="11.1"/>
    <n v="1"/>
    <n v="5.6"/>
    <n v="5.2"/>
    <n v="4.8899999999999997"/>
    <n v="11.6"/>
    <n v="3"/>
    <n v="113.4"/>
    <s v="dave-purdy-1"/>
  </r>
  <r>
    <n v="51"/>
    <x v="60"/>
    <n v="2"/>
    <n v="1982"/>
    <n v="1983"/>
    <n v="10"/>
    <n v="26"/>
    <n v="56"/>
    <n v="46.4"/>
    <n v="428"/>
    <x v="29"/>
    <n v="3.6"/>
    <n v="5"/>
    <n v="8.9"/>
    <n v="7.6"/>
    <n v="4.34"/>
    <n v="16.5"/>
    <n v="42.8"/>
    <n v="104.6"/>
    <s v="brent-offenbecher-1"/>
  </r>
  <r>
    <n v="65"/>
    <x v="61"/>
    <n v="4"/>
    <n v="1996"/>
    <n v="1999"/>
    <n v="35"/>
    <n v="10"/>
    <n v="11"/>
    <n v="90.9"/>
    <n v="225"/>
    <x v="29"/>
    <n v="18.2"/>
    <n v="0"/>
    <n v="0"/>
    <n v="20.5"/>
    <n v="24.09"/>
    <n v="22.5"/>
    <n v="6.4"/>
    <n v="322.7"/>
    <s v="michael-wiley-1"/>
  </r>
  <r>
    <n v="54"/>
    <x v="62"/>
    <n v="2"/>
    <n v="1997"/>
    <n v="1998"/>
    <n v="15"/>
    <n v="21"/>
    <n v="49"/>
    <n v="42.9"/>
    <n v="364"/>
    <x v="29"/>
    <n v="4.0999999999999996"/>
    <n v="1"/>
    <n v="2"/>
    <n v="7.4"/>
    <n v="7.33"/>
    <n v="17.3"/>
    <n v="24.3"/>
    <n v="114.6"/>
    <s v="mark-garcia-1"/>
  </r>
  <r>
    <n v="49"/>
    <x v="63"/>
    <n v="2"/>
    <n v="1998"/>
    <n v="1999"/>
    <n v="14"/>
    <n v="36"/>
    <n v="76"/>
    <n v="47.4"/>
    <n v="435"/>
    <x v="29"/>
    <n v="2.6"/>
    <n v="5"/>
    <n v="6.6"/>
    <n v="5.7"/>
    <n v="3.29"/>
    <n v="12.1"/>
    <n v="31.1"/>
    <n v="91"/>
    <s v="austin-moherman-1"/>
  </r>
  <r>
    <n v="59"/>
    <x v="64"/>
    <n v="2"/>
    <n v="2016"/>
    <n v="2017"/>
    <n v="11"/>
    <n v="29"/>
    <n v="39"/>
    <n v="74.400000000000006"/>
    <n v="287"/>
    <x v="29"/>
    <n v="5.0999999999999996"/>
    <n v="0"/>
    <n v="0"/>
    <n v="7.4"/>
    <n v="8.3800000000000008"/>
    <n v="9.9"/>
    <n v="26.1"/>
    <n v="153.1"/>
    <s v="joe-burrow-1"/>
  </r>
  <r>
    <n v="57"/>
    <x v="65"/>
    <n v="2"/>
    <n v="1942"/>
    <n v="1946"/>
    <n v="18"/>
    <n v="14"/>
    <n v="29"/>
    <n v="48.3"/>
    <n v="304"/>
    <x v="30"/>
    <n v="3.4"/>
    <n v="4"/>
    <n v="13.8"/>
    <n v="10.5"/>
    <n v="4.97"/>
    <n v="21.7"/>
    <n v="16.899999999999999"/>
    <n v="120.1"/>
    <s v="tommy-james-1"/>
  </r>
  <r>
    <n v="81"/>
    <x v="66"/>
    <n v="1"/>
    <n v="1944"/>
    <n v="1944"/>
    <n v="9"/>
    <n v="4"/>
    <n v="12"/>
    <n v="33.299999999999997"/>
    <n v="99"/>
    <x v="30"/>
    <n v="8.3000000000000007"/>
    <n v="1"/>
    <n v="8.3000000000000007"/>
    <n v="8.3000000000000007"/>
    <n v="6.17"/>
    <n v="24.8"/>
    <n v="11"/>
    <n v="113.5"/>
    <s v="bob-dove-2"/>
  </r>
  <r>
    <n v="101"/>
    <x v="67"/>
    <n v="1"/>
    <n v="1944"/>
    <n v="1944"/>
    <n v="9"/>
    <n v="2"/>
    <n v="5"/>
    <n v="40"/>
    <n v="42"/>
    <x v="30"/>
    <n v="20"/>
    <n v="0"/>
    <n v="0"/>
    <n v="8.4"/>
    <n v="12.4"/>
    <n v="21"/>
    <n v="4.7"/>
    <n v="176.6"/>
    <s v="george-gordon-2"/>
  </r>
  <r>
    <n v="69"/>
    <x v="68"/>
    <n v="3"/>
    <n v="1946"/>
    <n v="1948"/>
    <n v="25"/>
    <n v="6"/>
    <n v="14"/>
    <n v="42.9"/>
    <n v="163"/>
    <x v="30"/>
    <n v="7.1"/>
    <n v="2"/>
    <n v="14.3"/>
    <n v="11.6"/>
    <n v="6.64"/>
    <n v="27.2"/>
    <n v="6.5"/>
    <n v="135.69999999999999"/>
    <s v="alex-verdova-1"/>
  </r>
  <r>
    <n v="92"/>
    <x v="69"/>
    <n v="1"/>
    <n v="1948"/>
    <n v="1948"/>
    <n v="8"/>
    <n v="2"/>
    <n v="6"/>
    <n v="33.299999999999997"/>
    <n v="66"/>
    <x v="30"/>
    <n v="16.7"/>
    <n v="0"/>
    <n v="0"/>
    <n v="11"/>
    <n v="14.33"/>
    <n v="33"/>
    <n v="8.3000000000000007"/>
    <n v="180.7"/>
    <s v="george-wertz-1"/>
  </r>
  <r>
    <n v="77"/>
    <x v="70"/>
    <n v="3"/>
    <n v="1950"/>
    <n v="1952"/>
    <n v="27"/>
    <n v="8"/>
    <n v="18"/>
    <n v="44.4"/>
    <n v="108"/>
    <x v="30"/>
    <n v="5.6"/>
    <n v="2"/>
    <n v="11.1"/>
    <n v="6"/>
    <n v="2.11"/>
    <n v="13.5"/>
    <n v="4"/>
    <n v="91"/>
    <s v="fred-bruney-1"/>
  </r>
  <r>
    <n v="126"/>
    <x v="71"/>
    <n v="2"/>
    <n v="1950"/>
    <n v="1951"/>
    <n v="18"/>
    <n v="3"/>
    <n v="9"/>
    <n v="33.299999999999997"/>
    <n v="16"/>
    <x v="30"/>
    <n v="11.1"/>
    <n v="1"/>
    <n v="11.1"/>
    <n v="1.8"/>
    <n v="-1"/>
    <n v="5.3"/>
    <n v="0.9"/>
    <n v="62.7"/>
    <s v="bernie-skvarka-1"/>
  </r>
  <r>
    <n v="141"/>
    <x v="72"/>
    <n v="1"/>
    <n v="1950"/>
    <n v="1950"/>
    <n v="9"/>
    <n v="1"/>
    <n v="4"/>
    <n v="25"/>
    <n v="7"/>
    <x v="30"/>
    <n v="25"/>
    <n v="0"/>
    <n v="0"/>
    <n v="1.8"/>
    <n v="6.75"/>
    <n v="7"/>
    <n v="0.8"/>
    <n v="122.2"/>
    <s v="dick-ellwood-1"/>
  </r>
  <r>
    <n v="93"/>
    <x v="73"/>
    <n v="4"/>
    <n v="1952"/>
    <n v="1955"/>
    <n v="27"/>
    <n v="3"/>
    <n v="13"/>
    <n v="23.1"/>
    <n v="64"/>
    <x v="30"/>
    <n v="7.7"/>
    <n v="2"/>
    <n v="15.4"/>
    <n v="4.9000000000000004"/>
    <n v="-0.46"/>
    <n v="21.3"/>
    <n v="2.4"/>
    <n v="59"/>
    <s v="howard-cassady-1"/>
  </r>
  <r>
    <n v="99"/>
    <x v="74"/>
    <n v="2"/>
    <n v="1957"/>
    <n v="1958"/>
    <n v="9"/>
    <n v="2"/>
    <n v="3"/>
    <n v="66.7"/>
    <n v="52"/>
    <x v="30"/>
    <n v="33.299999999999997"/>
    <n v="0"/>
    <n v="0"/>
    <n v="17.3"/>
    <n v="24"/>
    <n v="26"/>
    <n v="5.8"/>
    <n v="322.3"/>
    <s v="ralph-gage-1"/>
  </r>
  <r>
    <n v="56"/>
    <x v="75"/>
    <n v="3"/>
    <n v="1960"/>
    <n v="1962"/>
    <n v="27"/>
    <n v="33"/>
    <n v="60"/>
    <n v="55"/>
    <n v="325"/>
    <x v="30"/>
    <n v="1.7"/>
    <n v="2"/>
    <n v="3.3"/>
    <n v="5.4"/>
    <n v="4.25"/>
    <n v="9.8000000000000007"/>
    <n v="12"/>
    <n v="99.3"/>
    <s v="william-mrukowski-1"/>
  </r>
  <r>
    <n v="143"/>
    <x v="76"/>
    <n v="2"/>
    <n v="1967"/>
    <n v="1968"/>
    <n v="19"/>
    <n v="1"/>
    <n v="3"/>
    <n v="33.299999999999997"/>
    <n v="7"/>
    <x v="30"/>
    <n v="33.299999999999997"/>
    <n v="0"/>
    <n v="0"/>
    <n v="2.2999999999999998"/>
    <n v="9"/>
    <n v="7"/>
    <n v="0.4"/>
    <n v="162.9"/>
    <s v="dave-brungard-1"/>
  </r>
  <r>
    <n v="52"/>
    <x v="77"/>
    <n v="3"/>
    <n v="1974"/>
    <n v="1976"/>
    <n v="22"/>
    <n v="29"/>
    <n v="55"/>
    <n v="52.7"/>
    <n v="425"/>
    <x v="30"/>
    <n v="1.8"/>
    <n v="3"/>
    <n v="5.5"/>
    <n v="7.7"/>
    <n v="5.64"/>
    <n v="14.7"/>
    <n v="19.3"/>
    <n v="112.7"/>
    <s v="jim-pacenta-1"/>
  </r>
  <r>
    <n v="63"/>
    <x v="78"/>
    <n v="4"/>
    <n v="1978"/>
    <n v="1981"/>
    <n v="33"/>
    <n v="20"/>
    <n v="41"/>
    <n v="48.8"/>
    <n v="264"/>
    <x v="30"/>
    <n v="2.4"/>
    <n v="3"/>
    <n v="7.3"/>
    <n v="6.4"/>
    <n v="3.63"/>
    <n v="13.2"/>
    <n v="8"/>
    <n v="96.3"/>
    <s v="bob-atha-1"/>
  </r>
  <r>
    <n v="107"/>
    <x v="79"/>
    <n v="4"/>
    <n v="1982"/>
    <n v="1985"/>
    <n v="11"/>
    <n v="1"/>
    <n v="1"/>
    <n v="100"/>
    <n v="35"/>
    <x v="30"/>
    <n v="100"/>
    <n v="0"/>
    <n v="0"/>
    <n v="35"/>
    <n v="55"/>
    <n v="35"/>
    <n v="3.2"/>
    <n v="724"/>
    <s v="keith-byars-1"/>
  </r>
  <r>
    <n v="116"/>
    <x v="80"/>
    <n v="3"/>
    <n v="1984"/>
    <n v="1986"/>
    <n v="11"/>
    <n v="1"/>
    <n v="2"/>
    <n v="50"/>
    <n v="26"/>
    <x v="30"/>
    <n v="50"/>
    <n v="0"/>
    <n v="0"/>
    <n v="13"/>
    <n v="23"/>
    <n v="26"/>
    <n v="2.4"/>
    <n v="324.2"/>
    <s v="cris-carter-1"/>
  </r>
  <r>
    <n v="108"/>
    <x v="81"/>
    <n v="4"/>
    <n v="1985"/>
    <n v="1988"/>
    <n v="23"/>
    <n v="2"/>
    <n v="4"/>
    <n v="50"/>
    <n v="35"/>
    <x v="30"/>
    <n v="25"/>
    <n v="0"/>
    <n v="0"/>
    <n v="8.8000000000000007"/>
    <n v="13.75"/>
    <n v="17.5"/>
    <n v="1.5"/>
    <n v="206"/>
    <s v="vince-workman-1"/>
  </r>
  <r>
    <n v="96"/>
    <x v="82"/>
    <n v="3"/>
    <n v="1988"/>
    <n v="1990"/>
    <n v="22"/>
    <n v="1"/>
    <n v="2"/>
    <n v="50"/>
    <n v="60"/>
    <x v="30"/>
    <n v="50"/>
    <n v="0"/>
    <n v="0"/>
    <n v="30"/>
    <n v="40"/>
    <n v="60"/>
    <n v="2.7"/>
    <n v="467"/>
    <s v="jeff-graham-2"/>
  </r>
  <r>
    <n v="105"/>
    <x v="83"/>
    <n v="3"/>
    <n v="2004"/>
    <n v="2006"/>
    <n v="13"/>
    <n v="1"/>
    <n v="2"/>
    <n v="50"/>
    <n v="38"/>
    <x v="30"/>
    <n v="50"/>
    <n v="0"/>
    <n v="0"/>
    <n v="19"/>
    <n v="29"/>
    <n v="38"/>
    <n v="2.9"/>
    <n v="374.6"/>
    <s v="ted-ginn-jr-1"/>
  </r>
  <r>
    <n v="98"/>
    <x v="84"/>
    <n v="1"/>
    <n v="2007"/>
    <n v="2007"/>
    <n v="4"/>
    <n v="3"/>
    <n v="6"/>
    <n v="50"/>
    <n v="57"/>
    <x v="30"/>
    <n v="16.7"/>
    <n v="0"/>
    <n v="0"/>
    <n v="9.5"/>
    <n v="12.83"/>
    <n v="19"/>
    <n v="14.3"/>
    <n v="184.8"/>
    <s v="antonio-henton-1"/>
  </r>
  <r>
    <n v="104"/>
    <x v="85"/>
    <n v="4"/>
    <n v="2008"/>
    <n v="2011"/>
    <n v="13"/>
    <n v="1"/>
    <n v="1"/>
    <n v="100"/>
    <n v="39"/>
    <x v="30"/>
    <n v="100"/>
    <n v="0"/>
    <n v="0"/>
    <n v="39"/>
    <n v="59"/>
    <n v="39"/>
    <n v="3"/>
    <n v="757.6"/>
    <s v="devier-posey-1"/>
  </r>
  <r>
    <n v="123"/>
    <x v="86"/>
    <n v="5"/>
    <n v="2009"/>
    <n v="2013"/>
    <n v="13"/>
    <n v="1"/>
    <n v="1"/>
    <n v="100"/>
    <n v="20"/>
    <x v="30"/>
    <n v="100"/>
    <n v="0"/>
    <n v="0"/>
    <n v="20"/>
    <n v="40"/>
    <n v="20"/>
    <n v="1.5"/>
    <n v="598"/>
    <s v="jordan-hall-1"/>
  </r>
  <r>
    <n v="131"/>
    <x v="87"/>
    <n v="4"/>
    <n v="2011"/>
    <n v="2014"/>
    <n v="15"/>
    <n v="1"/>
    <n v="1"/>
    <n v="100"/>
    <n v="13"/>
    <x v="30"/>
    <n v="100"/>
    <n v="0"/>
    <n v="0"/>
    <n v="13"/>
    <n v="33"/>
    <n v="13"/>
    <n v="0.9"/>
    <n v="539.20000000000005"/>
    <s v="evan-spencer-1"/>
  </r>
  <r>
    <n v="61"/>
    <x v="88"/>
    <n v="2"/>
    <n v="2017"/>
    <n v="2018"/>
    <n v="6"/>
    <n v="23"/>
    <n v="28"/>
    <n v="82.1"/>
    <n v="269"/>
    <x v="30"/>
    <n v="3.6"/>
    <n v="0"/>
    <n v="0"/>
    <n v="9.6"/>
    <n v="10.32"/>
    <n v="11.7"/>
    <n v="44.8"/>
    <n v="174.6"/>
    <s v="tate-martell-1"/>
  </r>
  <r>
    <n v="79"/>
    <x v="89"/>
    <n v="2"/>
    <n v="2019"/>
    <n v="2020"/>
    <n v="4"/>
    <n v="6"/>
    <n v="6"/>
    <n v="100"/>
    <n v="104"/>
    <x v="30"/>
    <n v="16.7"/>
    <n v="0"/>
    <n v="0"/>
    <n v="17.3"/>
    <n v="20.67"/>
    <n v="17.3"/>
    <n v="26"/>
    <n v="300.60000000000002"/>
    <s v="gunnar-hoak-1"/>
  </r>
  <r>
    <n v="87"/>
    <x v="90"/>
    <n v="1"/>
    <n v="2024"/>
    <n v="2024"/>
    <n v="4"/>
    <n v="5"/>
    <n v="12"/>
    <n v="41.7"/>
    <n v="84"/>
    <x v="30"/>
    <n v="8.3000000000000007"/>
    <n v="0"/>
    <n v="0"/>
    <n v="7"/>
    <n v="8.67"/>
    <n v="16.8"/>
    <n v="21"/>
    <n v="128"/>
    <s v="julian-sayin-1"/>
  </r>
  <r>
    <n v="111"/>
    <x v="91"/>
    <n v="2"/>
    <n v="1942"/>
    <n v="1946"/>
    <n v="9"/>
    <n v="3"/>
    <n v="7"/>
    <n v="42.9"/>
    <n v="33"/>
    <x v="31"/>
    <n v="0"/>
    <n v="0"/>
    <n v="0"/>
    <n v="4.7"/>
    <n v="4.71"/>
    <n v="11"/>
    <n v="3.7"/>
    <n v="82.5"/>
    <s v="richard-palmer-2"/>
  </r>
  <r>
    <n v="119"/>
    <x v="92"/>
    <n v="1"/>
    <n v="1942"/>
    <n v="1942"/>
    <n v="7"/>
    <n v="1"/>
    <n v="4"/>
    <n v="25"/>
    <n v="21"/>
    <x v="31"/>
    <n v="0"/>
    <n v="1"/>
    <n v="25"/>
    <n v="5.3"/>
    <n v="-6"/>
    <n v="21"/>
    <n v="3"/>
    <n v="19.100000000000001"/>
    <s v="bob-frye-1"/>
  </r>
  <r>
    <n v="135"/>
    <x v="93"/>
    <n v="1"/>
    <n v="1942"/>
    <n v="1942"/>
    <n v="10"/>
    <n v="1"/>
    <n v="2"/>
    <n v="50"/>
    <n v="10"/>
    <x v="31"/>
    <n v="0"/>
    <n v="0"/>
    <n v="0"/>
    <n v="5"/>
    <n v="5"/>
    <n v="10"/>
    <n v="1"/>
    <n v="92"/>
    <s v="gene-fekete-1"/>
  </r>
  <r>
    <n v="136"/>
    <x v="94"/>
    <n v="1"/>
    <n v="1942"/>
    <n v="1942"/>
    <n v="1"/>
    <n v="1"/>
    <n v="3"/>
    <n v="33.299999999999997"/>
    <n v="10"/>
    <x v="31"/>
    <n v="0"/>
    <n v="0"/>
    <n v="0"/>
    <n v="3.3"/>
    <n v="3.33"/>
    <n v="10"/>
    <n v="10"/>
    <n v="61.3"/>
    <s v="loren-staker-1"/>
  </r>
  <r>
    <n v="138"/>
    <x v="95"/>
    <n v="1"/>
    <n v="1942"/>
    <n v="1942"/>
    <n v="2"/>
    <n v="1"/>
    <n v="3"/>
    <n v="33.299999999999997"/>
    <n v="9"/>
    <x v="31"/>
    <n v="0"/>
    <n v="0"/>
    <n v="0"/>
    <n v="3"/>
    <n v="3"/>
    <n v="9"/>
    <n v="4.5"/>
    <n v="58.5"/>
    <s v="cyril-lipaj-1"/>
  </r>
  <r>
    <n v="146"/>
    <x v="96"/>
    <n v="1"/>
    <n v="1942"/>
    <n v="1942"/>
    <n v="3"/>
    <n v="0"/>
    <n v="1"/>
    <n v="0"/>
    <n v="0"/>
    <x v="31"/>
    <n v="0"/>
    <n v="0"/>
    <n v="0"/>
    <n v="0"/>
    <n v="0"/>
    <m/>
    <n v="0"/>
    <n v="0"/>
    <s v="bill-durtschi-1"/>
  </r>
  <r>
    <n v="89"/>
    <x v="97"/>
    <n v="3"/>
    <n v="1944"/>
    <n v="1947"/>
    <n v="18"/>
    <n v="2"/>
    <n v="7"/>
    <n v="28.6"/>
    <n v="71"/>
    <x v="31"/>
    <n v="0"/>
    <n v="0"/>
    <n v="0"/>
    <n v="10.1"/>
    <n v="10.14"/>
    <n v="35.5"/>
    <n v="3.9"/>
    <n v="113.8"/>
    <s v="bob-brugge-1"/>
  </r>
  <r>
    <n v="127"/>
    <x v="98"/>
    <n v="2"/>
    <n v="1944"/>
    <n v="1947"/>
    <n v="9"/>
    <n v="1"/>
    <n v="4"/>
    <n v="25"/>
    <n v="15"/>
    <x v="31"/>
    <n v="0"/>
    <n v="0"/>
    <n v="0"/>
    <n v="3.8"/>
    <n v="3.75"/>
    <n v="15"/>
    <n v="1.7"/>
    <n v="56.5"/>
    <s v="ollie-cline-1"/>
  </r>
  <r>
    <n v="147"/>
    <x v="99"/>
    <n v="1"/>
    <n v="1944"/>
    <n v="1944"/>
    <n v="9"/>
    <n v="0"/>
    <n v="2"/>
    <n v="0"/>
    <n v="0"/>
    <x v="31"/>
    <n v="0"/>
    <n v="0"/>
    <n v="0"/>
    <n v="0"/>
    <n v="0"/>
    <m/>
    <n v="0"/>
    <n v="0"/>
    <s v="dick-flanagan-1"/>
  </r>
  <r>
    <n v="148"/>
    <x v="100"/>
    <n v="1"/>
    <n v="1944"/>
    <n v="1944"/>
    <n v="9"/>
    <n v="0"/>
    <n v="4"/>
    <n v="0"/>
    <n v="0"/>
    <x v="31"/>
    <n v="0"/>
    <n v="0"/>
    <n v="0"/>
    <n v="0"/>
    <n v="0"/>
    <m/>
    <n v="0"/>
    <n v="0"/>
    <s v="dick-wandke-1"/>
  </r>
  <r>
    <n v="149"/>
    <x v="101"/>
    <n v="1"/>
    <n v="1944"/>
    <n v="1944"/>
    <n v="9"/>
    <n v="0"/>
    <n v="1"/>
    <n v="0"/>
    <n v="0"/>
    <x v="31"/>
    <n v="0"/>
    <n v="0"/>
    <n v="0"/>
    <n v="0"/>
    <n v="0"/>
    <m/>
    <n v="0"/>
    <n v="0"/>
    <s v="gene-janecko-1"/>
  </r>
  <r>
    <n v="48"/>
    <x v="102"/>
    <n v="3"/>
    <n v="1946"/>
    <n v="1948"/>
    <n v="19"/>
    <n v="31"/>
    <n v="107"/>
    <n v="29"/>
    <n v="435"/>
    <x v="31"/>
    <n v="0"/>
    <n v="16"/>
    <n v="15"/>
    <n v="4.0999999999999996"/>
    <n v="-2.66"/>
    <n v="14"/>
    <n v="22.9"/>
    <n v="33.200000000000003"/>
    <s v="richard-slager-1"/>
  </r>
  <r>
    <n v="53"/>
    <x v="103"/>
    <n v="1"/>
    <n v="1946"/>
    <n v="1946"/>
    <n v="8"/>
    <n v="25"/>
    <n v="51"/>
    <n v="49"/>
    <n v="398"/>
    <x v="31"/>
    <n v="0"/>
    <n v="4"/>
    <n v="7.8"/>
    <n v="7.8"/>
    <n v="4.2699999999999996"/>
    <n v="15.9"/>
    <n v="49.8"/>
    <n v="98.9"/>
    <s v="george-spencer-1"/>
  </r>
  <r>
    <n v="86"/>
    <x v="104"/>
    <n v="2"/>
    <n v="1946"/>
    <n v="1947"/>
    <n v="10"/>
    <n v="2"/>
    <n v="8"/>
    <n v="25"/>
    <n v="87"/>
    <x v="31"/>
    <n v="0"/>
    <n v="1"/>
    <n v="12.5"/>
    <n v="10.9"/>
    <n v="5.25"/>
    <n v="43.5"/>
    <n v="8.6999999999999993"/>
    <n v="91.4"/>
    <s v="william-doolittle-1"/>
  </r>
  <r>
    <n v="102"/>
    <x v="105"/>
    <n v="3"/>
    <n v="1946"/>
    <n v="1948"/>
    <n v="8"/>
    <n v="4"/>
    <n v="11"/>
    <n v="36.4"/>
    <n v="40"/>
    <x v="31"/>
    <n v="0"/>
    <n v="0"/>
    <n v="0"/>
    <n v="3.6"/>
    <n v="3.64"/>
    <n v="10"/>
    <n v="5"/>
    <n v="66.900000000000006"/>
    <s v="joseph-whisler-1"/>
  </r>
  <r>
    <n v="112"/>
    <x v="106"/>
    <n v="1"/>
    <n v="1946"/>
    <n v="1946"/>
    <n v="5"/>
    <n v="3"/>
    <n v="21"/>
    <n v="14.3"/>
    <n v="31"/>
    <x v="31"/>
    <n v="0"/>
    <n v="3"/>
    <n v="14.3"/>
    <n v="1.5"/>
    <n v="-4.95"/>
    <n v="10.3"/>
    <n v="6.2"/>
    <n v="-1.9"/>
    <s v="thomas-phillips-1"/>
  </r>
  <r>
    <n v="128"/>
    <x v="107"/>
    <n v="3"/>
    <n v="1946"/>
    <n v="1948"/>
    <n v="13"/>
    <n v="1"/>
    <n v="3"/>
    <n v="33.299999999999997"/>
    <n v="15"/>
    <x v="31"/>
    <n v="0"/>
    <n v="1"/>
    <n v="33.299999999999997"/>
    <n v="5"/>
    <n v="-10"/>
    <n v="15"/>
    <n v="1.2"/>
    <n v="8.6999999999999993"/>
    <s v="rodney-swinehart-1"/>
  </r>
  <r>
    <n v="132"/>
    <x v="108"/>
    <n v="3"/>
    <n v="1946"/>
    <n v="1948"/>
    <n v="8"/>
    <n v="1"/>
    <n v="2"/>
    <n v="50"/>
    <n v="12"/>
    <x v="31"/>
    <n v="0"/>
    <n v="1"/>
    <n v="50"/>
    <n v="6"/>
    <n v="-16.5"/>
    <n v="12"/>
    <n v="1.5"/>
    <n v="0.4"/>
    <s v="pete-perini-1"/>
  </r>
  <r>
    <n v="67"/>
    <x v="109"/>
    <n v="3"/>
    <n v="1947"/>
    <n v="1949"/>
    <n v="27"/>
    <n v="13"/>
    <n v="38"/>
    <n v="34.200000000000003"/>
    <n v="205"/>
    <x v="31"/>
    <n v="0"/>
    <n v="4"/>
    <n v="10.5"/>
    <n v="5.4"/>
    <n v="0.66"/>
    <n v="15.8"/>
    <n v="7.6"/>
    <n v="58.5"/>
    <s v="jimmy-clark-2"/>
  </r>
  <r>
    <n v="129"/>
    <x v="110"/>
    <n v="2"/>
    <n v="1948"/>
    <n v="1950"/>
    <n v="4"/>
    <n v="1"/>
    <n v="2"/>
    <n v="50"/>
    <n v="15"/>
    <x v="31"/>
    <n v="0"/>
    <n v="0"/>
    <n v="0"/>
    <n v="7.5"/>
    <n v="7.5"/>
    <n v="15"/>
    <n v="3.8"/>
    <n v="113"/>
    <s v="karl-sturtz-1"/>
  </r>
  <r>
    <n v="137"/>
    <x v="111"/>
    <n v="2"/>
    <n v="1948"/>
    <n v="1950"/>
    <n v="17"/>
    <n v="1"/>
    <n v="2"/>
    <n v="50"/>
    <n v="10"/>
    <x v="31"/>
    <n v="0"/>
    <n v="0"/>
    <n v="0"/>
    <n v="5"/>
    <n v="5"/>
    <n v="10"/>
    <n v="0.6"/>
    <n v="92"/>
    <s v="dick-widdoes-1"/>
  </r>
  <r>
    <n v="150"/>
    <x v="112"/>
    <n v="1"/>
    <n v="1948"/>
    <n v="1948"/>
    <n v="9"/>
    <n v="0"/>
    <n v="1"/>
    <n v="0"/>
    <n v="0"/>
    <x v="31"/>
    <n v="0"/>
    <n v="0"/>
    <n v="0"/>
    <n v="0"/>
    <n v="0"/>
    <m/>
    <n v="0"/>
    <n v="0"/>
    <s v="tom-anderson-5"/>
  </r>
  <r>
    <n v="109"/>
    <x v="113"/>
    <n v="3"/>
    <n v="1949"/>
    <n v="1951"/>
    <n v="9"/>
    <n v="3"/>
    <n v="8"/>
    <n v="37.5"/>
    <n v="34"/>
    <x v="31"/>
    <n v="0"/>
    <n v="0"/>
    <n v="0"/>
    <n v="4.3"/>
    <n v="4.25"/>
    <n v="11.3"/>
    <n v="3.8"/>
    <n v="73.2"/>
    <s v="ray-hamilton-2"/>
  </r>
  <r>
    <n v="115"/>
    <x v="114"/>
    <n v="1"/>
    <n v="1950"/>
    <n v="1950"/>
    <n v="9"/>
    <n v="1"/>
    <n v="1"/>
    <n v="100"/>
    <n v="26"/>
    <x v="31"/>
    <n v="0"/>
    <n v="0"/>
    <n v="0"/>
    <n v="26"/>
    <n v="26"/>
    <n v="26"/>
    <n v="2.9"/>
    <n v="318.39999999999998"/>
    <s v="earle-gentile-1"/>
  </r>
  <r>
    <n v="151"/>
    <x v="115"/>
    <n v="2"/>
    <n v="1950"/>
    <n v="1952"/>
    <n v="9"/>
    <n v="0"/>
    <n v="1"/>
    <n v="0"/>
    <n v="0"/>
    <x v="31"/>
    <n v="0"/>
    <n v="0"/>
    <n v="0"/>
    <n v="0"/>
    <n v="0"/>
    <m/>
    <n v="0"/>
    <n v="0"/>
    <s v="david-gambill-1"/>
  </r>
  <r>
    <n v="83"/>
    <x v="116"/>
    <n v="2"/>
    <n v="1951"/>
    <n v="1952"/>
    <n v="18"/>
    <n v="6"/>
    <n v="11"/>
    <n v="54.5"/>
    <n v="97"/>
    <x v="31"/>
    <n v="0"/>
    <n v="2"/>
    <n v="18.2"/>
    <n v="8.8000000000000007"/>
    <n v="0.64"/>
    <n v="16.2"/>
    <n v="5.4"/>
    <n v="92.3"/>
    <s v="william-wilks-1"/>
  </r>
  <r>
    <n v="152"/>
    <x v="117"/>
    <n v="2"/>
    <n v="1951"/>
    <n v="1952"/>
    <n v="9"/>
    <n v="0"/>
    <n v="2"/>
    <n v="0"/>
    <n v="0"/>
    <x v="31"/>
    <n v="0"/>
    <n v="0"/>
    <n v="0"/>
    <n v="0"/>
    <n v="0"/>
    <m/>
    <n v="0"/>
    <n v="0"/>
    <s v="douglas-goodsell-1"/>
  </r>
  <r>
    <n v="103"/>
    <x v="118"/>
    <n v="1"/>
    <n v="1952"/>
    <n v="1952"/>
    <n v="9"/>
    <n v="4"/>
    <n v="5"/>
    <n v="80"/>
    <n v="39"/>
    <x v="31"/>
    <n v="0"/>
    <n v="0"/>
    <n v="0"/>
    <n v="7.8"/>
    <n v="7.8"/>
    <n v="9.8000000000000007"/>
    <n v="4.3"/>
    <n v="145.5"/>
    <s v="william-petersen-1"/>
  </r>
  <r>
    <n v="75"/>
    <x v="119"/>
    <n v="3"/>
    <n v="1953"/>
    <n v="1955"/>
    <n v="24"/>
    <n v="7"/>
    <n v="16"/>
    <n v="43.8"/>
    <n v="117"/>
    <x v="31"/>
    <n v="0"/>
    <n v="2"/>
    <n v="12.5"/>
    <n v="7.3"/>
    <n v="1.69"/>
    <n v="16.7"/>
    <n v="4.9000000000000004"/>
    <n v="80.2"/>
    <s v="william-booth-1"/>
  </r>
  <r>
    <n v="90"/>
    <x v="120"/>
    <n v="1"/>
    <n v="1953"/>
    <n v="1953"/>
    <n v="9"/>
    <n v="2"/>
    <n v="7"/>
    <n v="28.6"/>
    <n v="71"/>
    <x v="31"/>
    <n v="0"/>
    <n v="0"/>
    <n v="0"/>
    <n v="10.1"/>
    <n v="10.14"/>
    <n v="35.5"/>
    <n v="7.9"/>
    <n v="113.8"/>
    <s v="george-rosso-1"/>
  </r>
  <r>
    <n v="84"/>
    <x v="121"/>
    <n v="2"/>
    <n v="1954"/>
    <n v="1957"/>
    <n v="7"/>
    <n v="7"/>
    <n v="12"/>
    <n v="58.3"/>
    <n v="94"/>
    <x v="31"/>
    <n v="0"/>
    <n v="0"/>
    <n v="0"/>
    <n v="7.8"/>
    <n v="7.83"/>
    <n v="13.4"/>
    <n v="13.4"/>
    <n v="124.1"/>
    <s v="andrew-okulovich-1"/>
  </r>
  <r>
    <n v="100"/>
    <x v="122"/>
    <n v="3"/>
    <n v="1954"/>
    <n v="1956"/>
    <n v="9"/>
    <n v="3"/>
    <n v="11"/>
    <n v="27.3"/>
    <n v="45"/>
    <x v="31"/>
    <n v="0"/>
    <n v="0"/>
    <n v="0"/>
    <n v="4.0999999999999996"/>
    <n v="4.09"/>
    <n v="15"/>
    <n v="5"/>
    <n v="61.6"/>
    <s v="james-roseboro-1"/>
  </r>
  <r>
    <n v="153"/>
    <x v="123"/>
    <n v="1"/>
    <n v="1954"/>
    <n v="1954"/>
    <n v="9"/>
    <n v="0"/>
    <n v="1"/>
    <n v="0"/>
    <n v="0"/>
    <x v="31"/>
    <n v="0"/>
    <n v="0"/>
    <n v="0"/>
    <n v="0"/>
    <n v="0"/>
    <m/>
    <n v="0"/>
    <n v="0"/>
    <s v="richard-young-1"/>
  </r>
  <r>
    <n v="154"/>
    <x v="124"/>
    <n v="2"/>
    <n v="1954"/>
    <n v="1956"/>
    <n v="9"/>
    <n v="0"/>
    <n v="1"/>
    <n v="0"/>
    <n v="0"/>
    <x v="31"/>
    <n v="0"/>
    <n v="1"/>
    <n v="100"/>
    <n v="0"/>
    <n v="-45"/>
    <m/>
    <n v="0"/>
    <n v="-200"/>
    <s v="hubert-bobo-1"/>
  </r>
  <r>
    <n v="155"/>
    <x v="125"/>
    <n v="1"/>
    <n v="1954"/>
    <n v="1954"/>
    <n v="9"/>
    <n v="0"/>
    <n v="1"/>
    <n v="0"/>
    <n v="0"/>
    <x v="31"/>
    <n v="0"/>
    <n v="0"/>
    <n v="0"/>
    <n v="0"/>
    <n v="0"/>
    <m/>
    <n v="0"/>
    <n v="0"/>
    <s v="robson-1"/>
  </r>
  <r>
    <n v="97"/>
    <x v="126"/>
    <n v="3"/>
    <n v="1955"/>
    <n v="1957"/>
    <n v="17"/>
    <n v="2"/>
    <n v="5"/>
    <n v="40"/>
    <n v="59"/>
    <x v="31"/>
    <n v="0"/>
    <n v="0"/>
    <n v="0"/>
    <n v="11.8"/>
    <n v="11.8"/>
    <n v="29.5"/>
    <n v="3.5"/>
    <n v="139.1"/>
    <s v="don-sutherin-1"/>
  </r>
  <r>
    <n v="114"/>
    <x v="127"/>
    <n v="2"/>
    <n v="1955"/>
    <n v="1956"/>
    <n v="7"/>
    <n v="2"/>
    <n v="11"/>
    <n v="18.2"/>
    <n v="27"/>
    <x v="31"/>
    <n v="0"/>
    <n v="1"/>
    <n v="9.1"/>
    <n v="2.5"/>
    <n v="-1.64"/>
    <n v="13.5"/>
    <n v="3.9"/>
    <n v="20.6"/>
    <s v="frank-theis-1"/>
  </r>
  <r>
    <n v="156"/>
    <x v="128"/>
    <n v="1"/>
    <n v="1955"/>
    <n v="1955"/>
    <n v="2"/>
    <n v="0"/>
    <n v="1"/>
    <n v="0"/>
    <n v="0"/>
    <x v="31"/>
    <n v="0"/>
    <n v="0"/>
    <n v="0"/>
    <n v="0"/>
    <n v="0"/>
    <m/>
    <n v="0"/>
    <n v="0"/>
    <s v="bob-lilenthal-1"/>
  </r>
  <r>
    <n v="133"/>
    <x v="129"/>
    <n v="3"/>
    <n v="1956"/>
    <n v="1958"/>
    <n v="18"/>
    <n v="2"/>
    <n v="6"/>
    <n v="33.299999999999997"/>
    <n v="12"/>
    <x v="31"/>
    <n v="0"/>
    <n v="0"/>
    <n v="0"/>
    <n v="2"/>
    <n v="2"/>
    <n v="6"/>
    <n v="0.7"/>
    <n v="50.1"/>
    <s v="dick-lebeau-1"/>
  </r>
  <r>
    <n v="142"/>
    <x v="130"/>
    <n v="3"/>
    <n v="1957"/>
    <n v="1960"/>
    <n v="4"/>
    <n v="1"/>
    <n v="1"/>
    <n v="100"/>
    <n v="7"/>
    <x v="31"/>
    <n v="0"/>
    <n v="0"/>
    <n v="0"/>
    <n v="7"/>
    <n v="7"/>
    <n v="7"/>
    <n v="1.8"/>
    <n v="158.80000000000001"/>
    <s v="bill-wentz-1"/>
  </r>
  <r>
    <n v="144"/>
    <x v="131"/>
    <n v="1"/>
    <n v="1957"/>
    <n v="1957"/>
    <n v="2"/>
    <n v="1"/>
    <n v="1"/>
    <n v="100"/>
    <n v="3"/>
    <x v="31"/>
    <n v="0"/>
    <n v="0"/>
    <n v="0"/>
    <n v="3"/>
    <n v="3"/>
    <n v="3"/>
    <n v="1.5"/>
    <n v="125.2"/>
    <s v="dave-zuhars-1"/>
  </r>
  <r>
    <n v="157"/>
    <x v="132"/>
    <n v="1"/>
    <n v="1957"/>
    <n v="1957"/>
    <n v="3"/>
    <n v="1"/>
    <n v="4"/>
    <n v="25"/>
    <n v="0"/>
    <x v="31"/>
    <n v="0"/>
    <n v="0"/>
    <n v="0"/>
    <n v="0"/>
    <n v="0"/>
    <n v="0"/>
    <n v="0"/>
    <n v="25"/>
    <s v="tom-crawford-1"/>
  </r>
  <r>
    <n v="158"/>
    <x v="133"/>
    <n v="2"/>
    <n v="1957"/>
    <n v="1958"/>
    <n v="2"/>
    <n v="0"/>
    <n v="1"/>
    <n v="0"/>
    <n v="0"/>
    <x v="31"/>
    <n v="0"/>
    <n v="0"/>
    <n v="0"/>
    <n v="0"/>
    <n v="0"/>
    <m/>
    <n v="0"/>
    <n v="0"/>
    <s v="john-dresser-1"/>
  </r>
  <r>
    <n v="159"/>
    <x v="134"/>
    <n v="2"/>
    <n v="1958"/>
    <n v="1960"/>
    <n v="3"/>
    <n v="0"/>
    <n v="2"/>
    <n v="0"/>
    <n v="0"/>
    <x v="31"/>
    <n v="0"/>
    <n v="1"/>
    <n v="50"/>
    <n v="0"/>
    <n v="-22.5"/>
    <m/>
    <n v="0"/>
    <n v="-100"/>
    <s v="michael-benis-1"/>
  </r>
  <r>
    <n v="94"/>
    <x v="135"/>
    <n v="3"/>
    <n v="1959"/>
    <n v="1961"/>
    <n v="23"/>
    <n v="8"/>
    <n v="18"/>
    <n v="44.4"/>
    <n v="64"/>
    <x v="31"/>
    <n v="0"/>
    <n v="1"/>
    <n v="5.6"/>
    <n v="3.6"/>
    <n v="1.06"/>
    <n v="8"/>
    <n v="2.8"/>
    <n v="63.2"/>
    <s v="jack-wallace-2"/>
  </r>
  <r>
    <n v="117"/>
    <x v="136"/>
    <n v="3"/>
    <n v="1961"/>
    <n v="1963"/>
    <n v="9"/>
    <n v="1"/>
    <n v="2"/>
    <n v="50"/>
    <n v="25"/>
    <x v="31"/>
    <n v="0"/>
    <n v="0"/>
    <n v="0"/>
    <n v="12.5"/>
    <n v="12.5"/>
    <n v="25"/>
    <n v="2.8"/>
    <n v="155"/>
    <s v="paul-warfield-1"/>
  </r>
  <r>
    <n v="74"/>
    <x v="137"/>
    <n v="3"/>
    <n v="1962"/>
    <n v="1964"/>
    <n v="16"/>
    <n v="7"/>
    <n v="26"/>
    <n v="26.9"/>
    <n v="120"/>
    <x v="31"/>
    <n v="0"/>
    <n v="6"/>
    <n v="23.1"/>
    <n v="4.5999999999999996"/>
    <n v="-5.77"/>
    <n v="17.100000000000001"/>
    <n v="7.5"/>
    <n v="19.5"/>
    <s v="nicholas-yonclas-1"/>
  </r>
  <r>
    <n v="130"/>
    <x v="138"/>
    <n v="2"/>
    <n v="1963"/>
    <n v="1964"/>
    <n v="18"/>
    <n v="2"/>
    <n v="3"/>
    <n v="66.7"/>
    <n v="15"/>
    <x v="31"/>
    <n v="0"/>
    <n v="0"/>
    <n v="0"/>
    <n v="5"/>
    <n v="5"/>
    <n v="7.5"/>
    <n v="0.8"/>
    <n v="108.7"/>
    <s v="arnold-chonko-1"/>
  </r>
  <r>
    <n v="160"/>
    <x v="139"/>
    <n v="3"/>
    <n v="1963"/>
    <n v="1965"/>
    <n v="14"/>
    <n v="0"/>
    <n v="4"/>
    <n v="0"/>
    <n v="0"/>
    <x v="31"/>
    <n v="0"/>
    <n v="1"/>
    <n v="25"/>
    <n v="0"/>
    <n v="-11.25"/>
    <m/>
    <n v="0"/>
    <n v="-50"/>
    <s v="tom-barrington-1"/>
  </r>
  <r>
    <n v="124"/>
    <x v="140"/>
    <n v="2"/>
    <n v="1965"/>
    <n v="1966"/>
    <n v="9"/>
    <n v="2"/>
    <n v="6"/>
    <n v="33.299999999999997"/>
    <n v="19"/>
    <x v="31"/>
    <n v="0"/>
    <n v="1"/>
    <n v="16.7"/>
    <n v="3.2"/>
    <n v="-4.33"/>
    <n v="9.5"/>
    <n v="2.1"/>
    <n v="26.6"/>
    <s v="arnold-fontes-1"/>
  </r>
  <r>
    <n v="82"/>
    <x v="141"/>
    <n v="2"/>
    <n v="1966"/>
    <n v="1967"/>
    <n v="15"/>
    <n v="11"/>
    <n v="29"/>
    <n v="37.9"/>
    <n v="98"/>
    <x v="31"/>
    <n v="0"/>
    <n v="3"/>
    <n v="10.3"/>
    <n v="3.4"/>
    <n v="-1.28"/>
    <n v="8.9"/>
    <n v="6.5"/>
    <n v="45.6"/>
    <s v="gerald-ehrsam-1"/>
  </r>
  <r>
    <n v="125"/>
    <x v="142"/>
    <n v="2"/>
    <n v="1968"/>
    <n v="1969"/>
    <n v="9"/>
    <n v="1"/>
    <n v="1"/>
    <n v="100"/>
    <n v="18"/>
    <x v="31"/>
    <n v="0"/>
    <n v="0"/>
    <n v="0"/>
    <n v="18"/>
    <n v="18"/>
    <n v="18"/>
    <n v="2"/>
    <n v="251.2"/>
    <s v="mike-sensibaugh-1"/>
  </r>
  <r>
    <n v="161"/>
    <x v="143"/>
    <n v="3"/>
    <n v="1970"/>
    <n v="1972"/>
    <n v="9"/>
    <n v="0"/>
    <n v="1"/>
    <n v="0"/>
    <n v="0"/>
    <x v="31"/>
    <n v="0"/>
    <n v="0"/>
    <n v="0"/>
    <n v="0"/>
    <n v="0"/>
    <m/>
    <n v="0"/>
    <n v="0"/>
    <s v="richard-galbos-1"/>
  </r>
  <r>
    <n v="162"/>
    <x v="144"/>
    <n v="1"/>
    <n v="1970"/>
    <n v="1970"/>
    <n v="3"/>
    <n v="0"/>
    <n v="2"/>
    <n v="0"/>
    <n v="0"/>
    <x v="31"/>
    <n v="0"/>
    <n v="1"/>
    <n v="50"/>
    <n v="0"/>
    <n v="-22.5"/>
    <m/>
    <n v="0"/>
    <n v="-100"/>
    <s v="ross-moore-1"/>
  </r>
  <r>
    <n v="139"/>
    <x v="145"/>
    <n v="1"/>
    <n v="1971"/>
    <n v="1971"/>
    <n v="2"/>
    <n v="1"/>
    <n v="2"/>
    <n v="50"/>
    <n v="9"/>
    <x v="31"/>
    <n v="0"/>
    <n v="0"/>
    <n v="0"/>
    <n v="4.5"/>
    <n v="4.5"/>
    <n v="9"/>
    <n v="4.5"/>
    <n v="87.8"/>
    <s v="bill-boyle-1"/>
  </r>
  <r>
    <n v="78"/>
    <x v="146"/>
    <n v="3"/>
    <n v="1972"/>
    <n v="1974"/>
    <n v="21"/>
    <n v="6"/>
    <n v="14"/>
    <n v="42.9"/>
    <n v="104"/>
    <x v="31"/>
    <n v="0"/>
    <n v="1"/>
    <n v="7.1"/>
    <n v="7.4"/>
    <n v="4.21"/>
    <n v="17.3"/>
    <n v="5"/>
    <n v="91"/>
    <s v="steve-morrison-1"/>
  </r>
  <r>
    <n v="106"/>
    <x v="147"/>
    <n v="4"/>
    <n v="1974"/>
    <n v="1977"/>
    <n v="11"/>
    <n v="1"/>
    <n v="1"/>
    <n v="100"/>
    <n v="36"/>
    <x v="31"/>
    <n v="0"/>
    <n v="0"/>
    <n v="0"/>
    <n v="36"/>
    <n v="36"/>
    <n v="36"/>
    <n v="3.3"/>
    <n v="402.4"/>
    <s v="jeff-logan-1"/>
  </r>
  <r>
    <n v="113"/>
    <x v="148"/>
    <n v="4"/>
    <n v="1976"/>
    <n v="1979"/>
    <n v="20"/>
    <n v="2"/>
    <n v="3"/>
    <n v="66.7"/>
    <n v="28"/>
    <x v="31"/>
    <n v="0"/>
    <n v="0"/>
    <n v="0"/>
    <n v="9.3000000000000007"/>
    <n v="9.33"/>
    <n v="14"/>
    <n v="1.4"/>
    <n v="145.1"/>
    <s v="mike-strahine-1"/>
  </r>
  <r>
    <n v="95"/>
    <x v="149"/>
    <n v="4"/>
    <n v="1979"/>
    <n v="1982"/>
    <n v="11"/>
    <n v="1"/>
    <n v="1"/>
    <n v="100"/>
    <n v="63"/>
    <x v="31"/>
    <n v="0"/>
    <n v="0"/>
    <n v="0"/>
    <n v="63"/>
    <n v="63"/>
    <n v="63"/>
    <n v="5.7"/>
    <n v="629.20000000000005"/>
    <s v="gary-williams-3"/>
  </r>
  <r>
    <n v="163"/>
    <x v="150"/>
    <n v="4"/>
    <n v="1979"/>
    <n v="1982"/>
    <n v="11"/>
    <n v="0"/>
    <n v="1"/>
    <n v="0"/>
    <n v="0"/>
    <x v="31"/>
    <n v="0"/>
    <n v="0"/>
    <n v="0"/>
    <n v="0"/>
    <n v="0"/>
    <m/>
    <n v="0"/>
    <n v="0"/>
    <s v="tim-spencer-1"/>
  </r>
  <r>
    <n v="91"/>
    <x v="151"/>
    <n v="4"/>
    <n v="1980"/>
    <n v="1983"/>
    <n v="4"/>
    <n v="5"/>
    <n v="7"/>
    <n v="71.400000000000006"/>
    <n v="68"/>
    <x v="31"/>
    <n v="0"/>
    <n v="1"/>
    <n v="14.3"/>
    <n v="9.6999999999999993"/>
    <n v="3.29"/>
    <n v="13.6"/>
    <n v="17"/>
    <n v="124.5"/>
    <s v="tim-stephens-1"/>
  </r>
  <r>
    <n v="164"/>
    <x v="152"/>
    <n v="3"/>
    <n v="1983"/>
    <n v="1985"/>
    <n v="11"/>
    <n v="0"/>
    <n v="1"/>
    <n v="0"/>
    <n v="0"/>
    <x v="31"/>
    <n v="0"/>
    <n v="0"/>
    <n v="0"/>
    <n v="0"/>
    <n v="0"/>
    <m/>
    <n v="0"/>
    <n v="0"/>
    <s v="doug-smith-1"/>
  </r>
  <r>
    <n v="134"/>
    <x v="153"/>
    <n v="2"/>
    <n v="1985"/>
    <n v="1987"/>
    <n v="12"/>
    <n v="1"/>
    <n v="3"/>
    <n v="33.299999999999997"/>
    <n v="11"/>
    <x v="31"/>
    <n v="0"/>
    <n v="0"/>
    <n v="0"/>
    <n v="3.7"/>
    <n v="3.67"/>
    <n v="11"/>
    <n v="0.9"/>
    <n v="64.099999999999994"/>
    <s v="scott-powell-1"/>
  </r>
  <r>
    <n v="165"/>
    <x v="154"/>
    <n v="3"/>
    <n v="1985"/>
    <n v="1987"/>
    <n v="12"/>
    <n v="0"/>
    <n v="1"/>
    <n v="0"/>
    <n v="0"/>
    <x v="31"/>
    <n v="0"/>
    <n v="1"/>
    <n v="100"/>
    <n v="0"/>
    <n v="-45"/>
    <m/>
    <n v="0"/>
    <n v="-200"/>
    <s v="everett-ross-1"/>
  </r>
  <r>
    <n v="166"/>
    <x v="155"/>
    <n v="4"/>
    <n v="1986"/>
    <n v="1989"/>
    <n v="11"/>
    <n v="0"/>
    <n v="1"/>
    <n v="0"/>
    <n v="0"/>
    <x v="31"/>
    <n v="0"/>
    <n v="1"/>
    <n v="100"/>
    <n v="0"/>
    <n v="-45"/>
    <m/>
    <n v="0"/>
    <n v="-200"/>
    <s v="jaymes-bryant-1"/>
  </r>
  <r>
    <n v="118"/>
    <x v="156"/>
    <n v="1"/>
    <n v="1988"/>
    <n v="1988"/>
    <n v="11"/>
    <n v="1"/>
    <n v="1"/>
    <n v="100"/>
    <n v="22"/>
    <x v="31"/>
    <n v="0"/>
    <n v="0"/>
    <n v="0"/>
    <n v="22"/>
    <n v="22"/>
    <n v="22"/>
    <n v="2"/>
    <n v="284.8"/>
    <s v="marc-hicks-2"/>
  </r>
  <r>
    <n v="140"/>
    <x v="157"/>
    <n v="1"/>
    <n v="1988"/>
    <n v="1988"/>
    <n v="11"/>
    <n v="1"/>
    <n v="2"/>
    <n v="50"/>
    <n v="8"/>
    <x v="31"/>
    <n v="0"/>
    <n v="0"/>
    <n v="0"/>
    <n v="4"/>
    <n v="4"/>
    <n v="8"/>
    <n v="0.7"/>
    <n v="83.6"/>
    <s v="john-wagoner-1"/>
  </r>
  <r>
    <n v="120"/>
    <x v="158"/>
    <n v="4"/>
    <n v="1990"/>
    <n v="1993"/>
    <n v="11"/>
    <n v="1"/>
    <n v="1"/>
    <n v="100"/>
    <n v="21"/>
    <x v="31"/>
    <n v="0"/>
    <n v="0"/>
    <n v="0"/>
    <n v="21"/>
    <n v="21"/>
    <n v="21"/>
    <n v="1.9"/>
    <n v="276.39999999999998"/>
    <s v="tim-williams-6"/>
  </r>
  <r>
    <n v="110"/>
    <x v="159"/>
    <n v="1"/>
    <n v="1991"/>
    <n v="1991"/>
    <n v="3"/>
    <n v="1"/>
    <n v="5"/>
    <n v="20"/>
    <n v="34"/>
    <x v="31"/>
    <n v="0"/>
    <n v="0"/>
    <n v="0"/>
    <n v="6.8"/>
    <n v="6.8"/>
    <n v="34"/>
    <n v="11.3"/>
    <n v="77.099999999999994"/>
    <s v="joe-pickens-1"/>
  </r>
  <r>
    <n v="121"/>
    <x v="160"/>
    <n v="4"/>
    <n v="1994"/>
    <n v="1997"/>
    <n v="11"/>
    <n v="1"/>
    <n v="1"/>
    <n v="100"/>
    <n v="21"/>
    <x v="31"/>
    <n v="0"/>
    <n v="0"/>
    <n v="0"/>
    <n v="21"/>
    <n v="21"/>
    <n v="21"/>
    <n v="1.9"/>
    <n v="276.39999999999998"/>
    <s v="pepe-pearson-1"/>
  </r>
  <r>
    <n v="167"/>
    <x v="161"/>
    <n v="5"/>
    <n v="1996"/>
    <n v="2000"/>
    <n v="11"/>
    <n v="0"/>
    <n v="1"/>
    <n v="0"/>
    <n v="0"/>
    <x v="31"/>
    <n v="0"/>
    <n v="0"/>
    <n v="0"/>
    <n v="0"/>
    <n v="0"/>
    <m/>
    <n v="0"/>
    <n v="0"/>
    <s v="dan-stultz-1"/>
  </r>
  <r>
    <n v="145"/>
    <x v="162"/>
    <n v="3"/>
    <n v="1998"/>
    <n v="2000"/>
    <n v="9"/>
    <n v="1"/>
    <n v="1"/>
    <n v="100"/>
    <n v="1"/>
    <x v="31"/>
    <n v="0"/>
    <n v="0"/>
    <n v="0"/>
    <n v="1"/>
    <n v="1"/>
    <n v="1"/>
    <n v="0.1"/>
    <n v="108.4"/>
    <s v="chad-cacchio-1"/>
  </r>
  <r>
    <n v="168"/>
    <x v="163"/>
    <n v="4"/>
    <n v="1998"/>
    <n v="2001"/>
    <n v="11"/>
    <n v="0"/>
    <n v="1"/>
    <n v="0"/>
    <n v="0"/>
    <x v="31"/>
    <n v="0"/>
    <n v="0"/>
    <n v="0"/>
    <n v="0"/>
    <n v="0"/>
    <m/>
    <n v="0"/>
    <n v="0"/>
    <s v="jonathan-wells-1"/>
  </r>
  <r>
    <n v="169"/>
    <x v="164"/>
    <n v="4"/>
    <n v="1999"/>
    <n v="2003"/>
    <n v="11"/>
    <n v="0"/>
    <n v="1"/>
    <n v="0"/>
    <n v="0"/>
    <x v="31"/>
    <n v="0"/>
    <n v="0"/>
    <n v="0"/>
    <n v="0"/>
    <n v="0"/>
    <m/>
    <n v="0"/>
    <n v="0"/>
    <s v="bj-sander-1"/>
  </r>
  <r>
    <n v="170"/>
    <x v="165"/>
    <n v="2"/>
    <n v="2001"/>
    <n v="2002"/>
    <n v="11"/>
    <n v="0"/>
    <n v="1"/>
    <n v="0"/>
    <n v="0"/>
    <x v="31"/>
    <n v="0"/>
    <n v="0"/>
    <n v="0"/>
    <n v="0"/>
    <n v="0"/>
    <m/>
    <n v="0"/>
    <n v="0"/>
    <s v="chris-vance-1"/>
  </r>
  <r>
    <n v="73"/>
    <x v="166"/>
    <n v="2"/>
    <n v="2006"/>
    <n v="2007"/>
    <n v="9"/>
    <n v="18"/>
    <n v="26"/>
    <n v="69.2"/>
    <n v="134"/>
    <x v="31"/>
    <n v="0"/>
    <n v="0"/>
    <n v="0"/>
    <n v="5.2"/>
    <n v="5.15"/>
    <n v="7.4"/>
    <n v="14.9"/>
    <n v="112.5"/>
    <s v="rob-schoenhoft-1"/>
  </r>
  <r>
    <n v="171"/>
    <x v="167"/>
    <n v="4"/>
    <n v="2013"/>
    <n v="2016"/>
    <n v="13"/>
    <n v="0"/>
    <n v="1"/>
    <n v="0"/>
    <n v="0"/>
    <x v="31"/>
    <n v="0"/>
    <n v="0"/>
    <n v="0"/>
    <n v="0"/>
    <n v="0"/>
    <m/>
    <n v="0"/>
    <n v="0"/>
    <s v="cameron-johnston-1"/>
  </r>
  <r>
    <n v="172"/>
    <x v="168"/>
    <n v="2"/>
    <n v="2014"/>
    <n v="2015"/>
    <n v="15"/>
    <n v="0"/>
    <n v="2"/>
    <n v="0"/>
    <n v="0"/>
    <x v="31"/>
    <n v="0"/>
    <n v="0"/>
    <n v="0"/>
    <n v="0"/>
    <n v="0"/>
    <m/>
    <n v="0"/>
    <n v="0"/>
    <s v="jalin-marshall-1"/>
  </r>
  <r>
    <n v="122"/>
    <x v="169"/>
    <n v="4"/>
    <n v="2017"/>
    <n v="2020"/>
    <n v="14"/>
    <n v="1"/>
    <n v="1"/>
    <n v="100"/>
    <n v="21"/>
    <x v="31"/>
    <n v="0"/>
    <n v="0"/>
    <n v="0"/>
    <n v="21"/>
    <n v="21"/>
    <n v="21"/>
    <n v="1.5"/>
    <n v="276.39999999999998"/>
    <s v="dru-chrisman-1"/>
  </r>
  <r>
    <n v="80"/>
    <x v="170"/>
    <n v="2"/>
    <n v="2020"/>
    <n v="2021"/>
    <n v="4"/>
    <n v="7"/>
    <n v="14"/>
    <n v="50"/>
    <n v="101"/>
    <x v="31"/>
    <n v="0"/>
    <n v="0"/>
    <n v="0"/>
    <n v="7.2"/>
    <n v="7.21"/>
    <n v="14.4"/>
    <n v="25.3"/>
    <n v="110.6"/>
    <s v="jack-miller-iii-1"/>
  </r>
  <r>
    <n v="173"/>
    <x v="171"/>
    <n v="4"/>
    <n v="2021"/>
    <n v="2024"/>
    <n v="10"/>
    <n v="0"/>
    <n v="1"/>
    <n v="0"/>
    <n v="0"/>
    <x v="31"/>
    <n v="0"/>
    <n v="0"/>
    <n v="0"/>
    <n v="0"/>
    <n v="0"/>
    <m/>
    <n v="0"/>
    <n v="0"/>
    <s v="emeka-egbuka-1"/>
  </r>
  <r>
    <n v="76"/>
    <x v="172"/>
    <n v="2"/>
    <n v="2023"/>
    <n v="2024"/>
    <n v="3"/>
    <n v="10"/>
    <n v="22"/>
    <n v="45.5"/>
    <n v="111"/>
    <x v="31"/>
    <n v="0"/>
    <n v="0"/>
    <n v="0"/>
    <n v="5"/>
    <n v="5.05"/>
    <n v="11.1"/>
    <n v="37"/>
    <n v="87.8"/>
    <s v="lincoln-kienholz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AAD55-FC00-48BE-A09C-E2BEE55D4E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31:AH32" firstHeaderRow="1" firstDataRow="1" firstDataCol="0" rowPageCount="1" colPageCount="1"/>
  <pivotFields count="20">
    <pivotField showAll="0"/>
    <pivotField dataField="1" showAll="0">
      <items count="174">
        <item x="125"/>
        <item x="68"/>
        <item x="121"/>
        <item x="84"/>
        <item x="138"/>
        <item x="140"/>
        <item x="9"/>
        <item x="63"/>
        <item x="164"/>
        <item x="71"/>
        <item x="145"/>
        <item x="96"/>
        <item x="130"/>
        <item x="78"/>
        <item x="97"/>
        <item x="66"/>
        <item x="92"/>
        <item x="128"/>
        <item x="4"/>
        <item x="8"/>
        <item x="60"/>
        <item x="36"/>
        <item x="1"/>
        <item x="167"/>
        <item x="25"/>
        <item x="162"/>
        <item x="43"/>
        <item x="165"/>
        <item x="21"/>
        <item x="16"/>
        <item x="80"/>
        <item x="95"/>
        <item x="161"/>
        <item x="76"/>
        <item x="29"/>
        <item x="59"/>
        <item x="131"/>
        <item x="115"/>
        <item x="85"/>
        <item x="52"/>
        <item x="72"/>
        <item x="99"/>
        <item x="129"/>
        <item x="100"/>
        <item x="111"/>
        <item x="55"/>
        <item x="58"/>
        <item x="126"/>
        <item x="27"/>
        <item x="152"/>
        <item x="117"/>
        <item x="169"/>
        <item x="6"/>
        <item x="114"/>
        <item x="171"/>
        <item x="87"/>
        <item x="154"/>
        <item x="40"/>
        <item x="49"/>
        <item x="127"/>
        <item x="70"/>
        <item x="149"/>
        <item x="93"/>
        <item x="101"/>
        <item x="67"/>
        <item x="120"/>
        <item x="53"/>
        <item x="103"/>
        <item x="69"/>
        <item x="141"/>
        <item x="45"/>
        <item x="11"/>
        <item x="42"/>
        <item x="89"/>
        <item x="73"/>
        <item x="124"/>
        <item x="0"/>
        <item x="170"/>
        <item x="135"/>
        <item x="168"/>
        <item x="122"/>
        <item x="155"/>
        <item x="82"/>
        <item x="147"/>
        <item x="56"/>
        <item x="39"/>
        <item x="10"/>
        <item x="77"/>
        <item x="109"/>
        <item x="38"/>
        <item x="64"/>
        <item x="7"/>
        <item x="159"/>
        <item x="32"/>
        <item x="19"/>
        <item x="133"/>
        <item x="57"/>
        <item x="157"/>
        <item x="163"/>
        <item x="86"/>
        <item x="105"/>
        <item x="90"/>
        <item x="2"/>
        <item x="37"/>
        <item x="110"/>
        <item x="79"/>
        <item x="22"/>
        <item x="35"/>
        <item x="41"/>
        <item x="44"/>
        <item x="17"/>
        <item x="47"/>
        <item x="172"/>
        <item x="94"/>
        <item x="156"/>
        <item x="62"/>
        <item x="134"/>
        <item x="61"/>
        <item x="142"/>
        <item x="148"/>
        <item x="15"/>
        <item x="137"/>
        <item x="98"/>
        <item x="28"/>
        <item x="46"/>
        <item x="136"/>
        <item x="160"/>
        <item x="108"/>
        <item x="74"/>
        <item x="113"/>
        <item x="20"/>
        <item x="48"/>
        <item x="143"/>
        <item x="91"/>
        <item x="102"/>
        <item x="123"/>
        <item x="166"/>
        <item x="50"/>
        <item x="107"/>
        <item x="34"/>
        <item x="144"/>
        <item x="30"/>
        <item x="153"/>
        <item x="18"/>
        <item x="12"/>
        <item x="146"/>
        <item x="88"/>
        <item x="83"/>
        <item x="3"/>
        <item x="106"/>
        <item x="150"/>
        <item x="151"/>
        <item x="158"/>
        <item x="14"/>
        <item x="112"/>
        <item x="139"/>
        <item x="132"/>
        <item x="51"/>
        <item x="54"/>
        <item x="26"/>
        <item x="23"/>
        <item x="65"/>
        <item x="31"/>
        <item x="5"/>
        <item x="24"/>
        <item x="81"/>
        <item x="13"/>
        <item x="119"/>
        <item x="104"/>
        <item x="33"/>
        <item x="75"/>
        <item x="118"/>
        <item x="1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3">
        <item h="1"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0" hier="-1"/>
  </pageFields>
  <dataFields count="1">
    <dataField name="Count of Play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1A0F-4A1B-484C-812C-45521842BAF8}">
  <dimension ref="A1:AI173"/>
  <sheetViews>
    <sheetView tabSelected="1" workbookViewId="0">
      <selection activeCell="AJ33" sqref="AJ33"/>
    </sheetView>
  </sheetViews>
  <sheetFormatPr defaultRowHeight="15" x14ac:dyDescent="0.25"/>
  <sheetData>
    <row r="1" spans="1:28" x14ac:dyDescent="0.25">
      <c r="A1">
        <v>1</v>
      </c>
      <c r="B1" t="s">
        <v>0</v>
      </c>
      <c r="C1">
        <v>4</v>
      </c>
      <c r="D1">
        <v>2014</v>
      </c>
      <c r="E1">
        <v>2017</v>
      </c>
      <c r="F1">
        <v>50</v>
      </c>
      <c r="G1">
        <v>769</v>
      </c>
      <c r="H1">
        <v>1211</v>
      </c>
      <c r="I1">
        <v>63.5</v>
      </c>
      <c r="J1">
        <v>9434</v>
      </c>
      <c r="K1">
        <v>104</v>
      </c>
      <c r="L1">
        <v>8.6</v>
      </c>
      <c r="M1">
        <v>30</v>
      </c>
      <c r="N1">
        <v>2.5</v>
      </c>
      <c r="O1">
        <v>7.8</v>
      </c>
      <c r="P1">
        <v>8.39</v>
      </c>
      <c r="Q1">
        <v>12.3</v>
      </c>
      <c r="R1">
        <v>188.7</v>
      </c>
      <c r="S1">
        <v>152.30000000000001</v>
      </c>
      <c r="T1" t="s">
        <v>1</v>
      </c>
    </row>
    <row r="2" spans="1:28" x14ac:dyDescent="0.25">
      <c r="A2">
        <v>2</v>
      </c>
      <c r="B2" t="s">
        <v>2</v>
      </c>
      <c r="C2">
        <v>3</v>
      </c>
      <c r="D2">
        <v>2020</v>
      </c>
      <c r="E2">
        <v>2022</v>
      </c>
      <c r="F2">
        <v>25</v>
      </c>
      <c r="G2">
        <v>575</v>
      </c>
      <c r="H2">
        <v>830</v>
      </c>
      <c r="I2">
        <v>69.3</v>
      </c>
      <c r="J2">
        <v>8123</v>
      </c>
      <c r="K2">
        <v>85</v>
      </c>
      <c r="L2">
        <v>10.199999999999999</v>
      </c>
      <c r="M2">
        <v>12</v>
      </c>
      <c r="N2">
        <v>1.4</v>
      </c>
      <c r="O2">
        <v>9.8000000000000007</v>
      </c>
      <c r="P2">
        <v>11.18</v>
      </c>
      <c r="Q2">
        <v>14.1</v>
      </c>
      <c r="R2">
        <v>324.89999999999998</v>
      </c>
      <c r="S2">
        <v>182.4</v>
      </c>
      <c r="T2" t="s">
        <v>3</v>
      </c>
    </row>
    <row r="3" spans="1:28" x14ac:dyDescent="0.25">
      <c r="A3">
        <v>11</v>
      </c>
      <c r="B3" t="s">
        <v>4</v>
      </c>
      <c r="C3">
        <v>2</v>
      </c>
      <c r="D3">
        <v>2019</v>
      </c>
      <c r="E3">
        <v>2020</v>
      </c>
      <c r="F3">
        <v>22</v>
      </c>
      <c r="G3">
        <v>396</v>
      </c>
      <c r="H3">
        <v>579</v>
      </c>
      <c r="I3">
        <v>68.400000000000006</v>
      </c>
      <c r="J3">
        <v>5373</v>
      </c>
      <c r="K3">
        <v>63</v>
      </c>
      <c r="L3">
        <v>10.9</v>
      </c>
      <c r="M3">
        <v>9</v>
      </c>
      <c r="N3">
        <v>1.6</v>
      </c>
      <c r="O3">
        <v>9.3000000000000007</v>
      </c>
      <c r="P3">
        <v>10.76</v>
      </c>
      <c r="Q3">
        <v>13.6</v>
      </c>
      <c r="R3">
        <v>244.2</v>
      </c>
      <c r="S3">
        <v>179.1</v>
      </c>
      <c r="T3" t="s">
        <v>5</v>
      </c>
      <c r="V3" t="s">
        <v>6</v>
      </c>
      <c r="W3" s="1">
        <f>AVERAGE(I1:I173)</f>
        <v>45.379190751445087</v>
      </c>
      <c r="X3" t="s">
        <v>7</v>
      </c>
    </row>
    <row r="4" spans="1:28" x14ac:dyDescent="0.25">
      <c r="A4">
        <v>5</v>
      </c>
      <c r="B4" t="s">
        <v>8</v>
      </c>
      <c r="C4">
        <v>3</v>
      </c>
      <c r="D4">
        <v>2008</v>
      </c>
      <c r="E4">
        <v>2010</v>
      </c>
      <c r="F4">
        <v>39</v>
      </c>
      <c r="G4">
        <v>477</v>
      </c>
      <c r="H4">
        <v>783</v>
      </c>
      <c r="I4">
        <v>60.9</v>
      </c>
      <c r="J4">
        <v>6177</v>
      </c>
      <c r="K4">
        <v>57</v>
      </c>
      <c r="L4">
        <v>7.3</v>
      </c>
      <c r="M4">
        <v>26</v>
      </c>
      <c r="N4">
        <v>3.3</v>
      </c>
      <c r="O4">
        <v>7.9</v>
      </c>
      <c r="P4">
        <v>7.85</v>
      </c>
      <c r="Q4">
        <v>12.9</v>
      </c>
      <c r="R4">
        <v>158.4</v>
      </c>
      <c r="S4">
        <v>144.6</v>
      </c>
      <c r="T4" t="s">
        <v>9</v>
      </c>
    </row>
    <row r="5" spans="1:28" x14ac:dyDescent="0.25">
      <c r="A5">
        <v>3</v>
      </c>
      <c r="B5" t="s">
        <v>10</v>
      </c>
      <c r="C5">
        <v>4</v>
      </c>
      <c r="D5">
        <v>1992</v>
      </c>
      <c r="E5">
        <v>1995</v>
      </c>
      <c r="F5">
        <v>42</v>
      </c>
      <c r="G5">
        <v>463</v>
      </c>
      <c r="H5">
        <v>782</v>
      </c>
      <c r="I5">
        <v>59.2</v>
      </c>
      <c r="J5">
        <v>6751</v>
      </c>
      <c r="K5">
        <v>54</v>
      </c>
      <c r="L5">
        <v>6.9</v>
      </c>
      <c r="M5">
        <v>33</v>
      </c>
      <c r="N5">
        <v>4.2</v>
      </c>
      <c r="O5">
        <v>8.6</v>
      </c>
      <c r="P5">
        <v>8.1199999999999992</v>
      </c>
      <c r="Q5">
        <v>14.6</v>
      </c>
      <c r="R5">
        <v>160.69999999999999</v>
      </c>
      <c r="S5">
        <v>146.1</v>
      </c>
      <c r="T5" t="s">
        <v>11</v>
      </c>
    </row>
    <row r="6" spans="1:28" x14ac:dyDescent="0.25">
      <c r="A6">
        <v>8</v>
      </c>
      <c r="B6" t="s">
        <v>12</v>
      </c>
      <c r="C6">
        <v>4</v>
      </c>
      <c r="D6">
        <v>2003</v>
      </c>
      <c r="E6">
        <v>2006</v>
      </c>
      <c r="F6">
        <v>32</v>
      </c>
      <c r="G6">
        <v>420</v>
      </c>
      <c r="H6">
        <v>670</v>
      </c>
      <c r="I6">
        <v>62.7</v>
      </c>
      <c r="J6">
        <v>5720</v>
      </c>
      <c r="K6">
        <v>54</v>
      </c>
      <c r="L6">
        <v>8.1</v>
      </c>
      <c r="M6">
        <v>13</v>
      </c>
      <c r="N6">
        <v>1.9</v>
      </c>
      <c r="O6">
        <v>8.5</v>
      </c>
      <c r="P6">
        <v>9.2799999999999994</v>
      </c>
      <c r="Q6">
        <v>13.6</v>
      </c>
      <c r="R6">
        <v>178.8</v>
      </c>
      <c r="S6">
        <v>157.1</v>
      </c>
      <c r="T6" t="s">
        <v>13</v>
      </c>
    </row>
    <row r="7" spans="1:28" x14ac:dyDescent="0.25">
      <c r="A7">
        <v>10</v>
      </c>
      <c r="B7" t="s">
        <v>14</v>
      </c>
      <c r="C7">
        <v>2</v>
      </c>
      <c r="D7">
        <v>2017</v>
      </c>
      <c r="E7">
        <v>2018</v>
      </c>
      <c r="F7">
        <v>22</v>
      </c>
      <c r="G7">
        <v>413</v>
      </c>
      <c r="H7">
        <v>590</v>
      </c>
      <c r="I7">
        <v>70</v>
      </c>
      <c r="J7">
        <v>5396</v>
      </c>
      <c r="K7">
        <v>54</v>
      </c>
      <c r="L7">
        <v>9.1999999999999993</v>
      </c>
      <c r="M7">
        <v>9</v>
      </c>
      <c r="N7">
        <v>1.5</v>
      </c>
      <c r="O7">
        <v>9.1</v>
      </c>
      <c r="P7">
        <v>10.29</v>
      </c>
      <c r="Q7">
        <v>13.1</v>
      </c>
      <c r="R7">
        <v>245.3</v>
      </c>
      <c r="S7">
        <v>174</v>
      </c>
      <c r="T7" t="s">
        <v>15</v>
      </c>
      <c r="AB7" t="s">
        <v>16</v>
      </c>
    </row>
    <row r="8" spans="1:28" x14ac:dyDescent="0.25">
      <c r="A8">
        <v>7</v>
      </c>
      <c r="B8" t="s">
        <v>17</v>
      </c>
      <c r="C8">
        <v>3</v>
      </c>
      <c r="D8">
        <v>1996</v>
      </c>
      <c r="E8">
        <v>1998</v>
      </c>
      <c r="F8">
        <v>34</v>
      </c>
      <c r="G8">
        <v>399</v>
      </c>
      <c r="H8">
        <v>660</v>
      </c>
      <c r="I8">
        <v>60.5</v>
      </c>
      <c r="J8">
        <v>5844</v>
      </c>
      <c r="K8">
        <v>52</v>
      </c>
      <c r="L8">
        <v>7.9</v>
      </c>
      <c r="M8">
        <v>18</v>
      </c>
      <c r="N8">
        <v>2.7</v>
      </c>
      <c r="O8">
        <v>8.9</v>
      </c>
      <c r="P8">
        <v>9.1999999999999993</v>
      </c>
      <c r="Q8">
        <v>14.6</v>
      </c>
      <c r="R8">
        <v>171.9</v>
      </c>
      <c r="S8">
        <v>155.4</v>
      </c>
      <c r="T8" t="s">
        <v>18</v>
      </c>
    </row>
    <row r="9" spans="1:28" x14ac:dyDescent="0.25">
      <c r="A9">
        <v>12</v>
      </c>
      <c r="B9" t="s">
        <v>19</v>
      </c>
      <c r="C9">
        <v>5</v>
      </c>
      <c r="D9">
        <v>2011</v>
      </c>
      <c r="E9">
        <v>2015</v>
      </c>
      <c r="F9">
        <v>49</v>
      </c>
      <c r="G9">
        <v>396</v>
      </c>
      <c r="H9">
        <v>667</v>
      </c>
      <c r="I9">
        <v>59.4</v>
      </c>
      <c r="J9">
        <v>5295</v>
      </c>
      <c r="K9">
        <v>52</v>
      </c>
      <c r="L9">
        <v>7.8</v>
      </c>
      <c r="M9">
        <v>17</v>
      </c>
      <c r="N9">
        <v>2.5</v>
      </c>
      <c r="O9">
        <v>7.9</v>
      </c>
      <c r="P9">
        <v>8.35</v>
      </c>
      <c r="Q9">
        <v>13.4</v>
      </c>
      <c r="R9">
        <v>108.1</v>
      </c>
      <c r="S9">
        <v>146.69999999999999</v>
      </c>
      <c r="T9" t="s">
        <v>20</v>
      </c>
      <c r="AB9" t="s">
        <v>21</v>
      </c>
    </row>
    <row r="10" spans="1:28" x14ac:dyDescent="0.25">
      <c r="A10">
        <v>4</v>
      </c>
      <c r="B10" t="s">
        <v>22</v>
      </c>
      <c r="C10">
        <v>4</v>
      </c>
      <c r="D10">
        <v>1978</v>
      </c>
      <c r="E10">
        <v>1981</v>
      </c>
      <c r="F10">
        <v>44</v>
      </c>
      <c r="G10">
        <v>439</v>
      </c>
      <c r="H10">
        <v>849</v>
      </c>
      <c r="I10">
        <v>51.7</v>
      </c>
      <c r="J10">
        <v>6584</v>
      </c>
      <c r="K10">
        <v>44</v>
      </c>
      <c r="L10">
        <v>5.2</v>
      </c>
      <c r="M10">
        <v>42</v>
      </c>
      <c r="N10">
        <v>4.9000000000000004</v>
      </c>
      <c r="O10">
        <v>7.8</v>
      </c>
      <c r="P10">
        <v>6.57</v>
      </c>
      <c r="Q10">
        <v>15</v>
      </c>
      <c r="R10">
        <v>149.6</v>
      </c>
      <c r="S10">
        <v>124.1</v>
      </c>
      <c r="T10" t="s">
        <v>23</v>
      </c>
    </row>
    <row r="11" spans="1:28" x14ac:dyDescent="0.25">
      <c r="A11">
        <v>14</v>
      </c>
      <c r="B11" t="s">
        <v>24</v>
      </c>
      <c r="C11">
        <v>4</v>
      </c>
      <c r="D11">
        <v>1983</v>
      </c>
      <c r="E11">
        <v>1986</v>
      </c>
      <c r="F11">
        <v>41</v>
      </c>
      <c r="G11">
        <v>330</v>
      </c>
      <c r="H11">
        <v>573</v>
      </c>
      <c r="I11">
        <v>57.6</v>
      </c>
      <c r="J11">
        <v>4698</v>
      </c>
      <c r="K11">
        <v>36</v>
      </c>
      <c r="L11">
        <v>6.3</v>
      </c>
      <c r="M11">
        <v>19</v>
      </c>
      <c r="N11">
        <v>3.3</v>
      </c>
      <c r="O11">
        <v>8.1999999999999993</v>
      </c>
      <c r="P11">
        <v>7.96</v>
      </c>
      <c r="Q11">
        <v>14.2</v>
      </c>
      <c r="R11">
        <v>114.6</v>
      </c>
      <c r="S11">
        <v>140.6</v>
      </c>
      <c r="T11" t="s">
        <v>25</v>
      </c>
      <c r="AB11" t="s">
        <v>26</v>
      </c>
    </row>
    <row r="12" spans="1:28" x14ac:dyDescent="0.25">
      <c r="A12">
        <v>6</v>
      </c>
      <c r="B12" t="s">
        <v>27</v>
      </c>
      <c r="C12">
        <v>4</v>
      </c>
      <c r="D12">
        <v>1987</v>
      </c>
      <c r="E12">
        <v>1990</v>
      </c>
      <c r="F12">
        <v>44</v>
      </c>
      <c r="G12">
        <v>417</v>
      </c>
      <c r="H12">
        <v>777</v>
      </c>
      <c r="I12">
        <v>53.7</v>
      </c>
      <c r="J12">
        <v>5974</v>
      </c>
      <c r="K12">
        <v>36</v>
      </c>
      <c r="L12">
        <v>4.5999999999999996</v>
      </c>
      <c r="M12">
        <v>35</v>
      </c>
      <c r="N12">
        <v>4.5</v>
      </c>
      <c r="O12">
        <v>7.7</v>
      </c>
      <c r="P12">
        <v>6.59</v>
      </c>
      <c r="Q12">
        <v>14.3</v>
      </c>
      <c r="R12">
        <v>135.80000000000001</v>
      </c>
      <c r="S12">
        <v>124.5</v>
      </c>
      <c r="T12" t="s">
        <v>28</v>
      </c>
    </row>
    <row r="13" spans="1:28" x14ac:dyDescent="0.25">
      <c r="A13">
        <v>9</v>
      </c>
      <c r="B13" t="s">
        <v>29</v>
      </c>
      <c r="C13">
        <v>4</v>
      </c>
      <c r="D13">
        <v>1998</v>
      </c>
      <c r="E13">
        <v>2001</v>
      </c>
      <c r="F13">
        <v>43</v>
      </c>
      <c r="G13">
        <v>351</v>
      </c>
      <c r="H13">
        <v>699</v>
      </c>
      <c r="I13">
        <v>50.2</v>
      </c>
      <c r="J13">
        <v>5401</v>
      </c>
      <c r="K13">
        <v>33</v>
      </c>
      <c r="L13">
        <v>4.7</v>
      </c>
      <c r="M13">
        <v>27</v>
      </c>
      <c r="N13">
        <v>3.9</v>
      </c>
      <c r="O13">
        <v>7.7</v>
      </c>
      <c r="P13">
        <v>6.93</v>
      </c>
      <c r="Q13">
        <v>15.4</v>
      </c>
      <c r="R13">
        <v>125.6</v>
      </c>
      <c r="S13">
        <v>123</v>
      </c>
      <c r="T13" t="s">
        <v>30</v>
      </c>
    </row>
    <row r="14" spans="1:28" x14ac:dyDescent="0.25">
      <c r="A14">
        <v>16</v>
      </c>
      <c r="B14" t="s">
        <v>31</v>
      </c>
      <c r="C14">
        <v>1</v>
      </c>
      <c r="D14">
        <v>2024</v>
      </c>
      <c r="E14">
        <v>2024</v>
      </c>
      <c r="F14">
        <v>15</v>
      </c>
      <c r="G14">
        <v>292</v>
      </c>
      <c r="H14">
        <v>402</v>
      </c>
      <c r="I14">
        <v>72.599999999999994</v>
      </c>
      <c r="J14">
        <v>3779</v>
      </c>
      <c r="K14">
        <v>33</v>
      </c>
      <c r="L14">
        <v>8.1999999999999993</v>
      </c>
      <c r="M14">
        <v>10</v>
      </c>
      <c r="N14">
        <v>2.5</v>
      </c>
      <c r="O14">
        <v>9.4</v>
      </c>
      <c r="P14">
        <v>9.92</v>
      </c>
      <c r="Q14">
        <v>12.9</v>
      </c>
      <c r="R14">
        <v>251.9</v>
      </c>
      <c r="S14">
        <v>173.7</v>
      </c>
      <c r="T14" t="s">
        <v>32</v>
      </c>
    </row>
    <row r="15" spans="1:28" x14ac:dyDescent="0.25">
      <c r="A15">
        <v>18</v>
      </c>
      <c r="B15" t="s">
        <v>33</v>
      </c>
      <c r="C15">
        <v>4</v>
      </c>
      <c r="D15">
        <v>2005</v>
      </c>
      <c r="E15">
        <v>2008</v>
      </c>
      <c r="F15">
        <v>28</v>
      </c>
      <c r="G15">
        <v>255</v>
      </c>
      <c r="H15">
        <v>402</v>
      </c>
      <c r="I15">
        <v>63.4</v>
      </c>
      <c r="J15">
        <v>3085</v>
      </c>
      <c r="K15">
        <v>31</v>
      </c>
      <c r="L15">
        <v>7.7</v>
      </c>
      <c r="M15">
        <v>16</v>
      </c>
      <c r="N15">
        <v>4</v>
      </c>
      <c r="O15">
        <v>7.7</v>
      </c>
      <c r="P15">
        <v>7.43</v>
      </c>
      <c r="Q15">
        <v>12.1</v>
      </c>
      <c r="R15">
        <v>110.2</v>
      </c>
      <c r="S15">
        <v>145.4</v>
      </c>
      <c r="T15" t="s">
        <v>34</v>
      </c>
    </row>
    <row r="16" spans="1:28" x14ac:dyDescent="0.25">
      <c r="A16">
        <v>13</v>
      </c>
      <c r="B16" t="s">
        <v>35</v>
      </c>
      <c r="C16">
        <v>4</v>
      </c>
      <c r="D16">
        <v>1981</v>
      </c>
      <c r="E16">
        <v>1984</v>
      </c>
      <c r="F16">
        <v>44</v>
      </c>
      <c r="G16">
        <v>326</v>
      </c>
      <c r="H16">
        <v>588</v>
      </c>
      <c r="I16">
        <v>55.4</v>
      </c>
      <c r="J16">
        <v>4921</v>
      </c>
      <c r="K16">
        <v>30</v>
      </c>
      <c r="L16">
        <v>5.0999999999999996</v>
      </c>
      <c r="M16">
        <v>32</v>
      </c>
      <c r="N16">
        <v>5.4</v>
      </c>
      <c r="O16">
        <v>8.4</v>
      </c>
      <c r="P16">
        <v>6.94</v>
      </c>
      <c r="Q16">
        <v>15.1</v>
      </c>
      <c r="R16">
        <v>111.8</v>
      </c>
      <c r="S16">
        <v>131.69999999999999</v>
      </c>
      <c r="T16" t="s">
        <v>36</v>
      </c>
    </row>
    <row r="17" spans="1:35" x14ac:dyDescent="0.25">
      <c r="A17">
        <v>15</v>
      </c>
      <c r="B17" t="s">
        <v>37</v>
      </c>
      <c r="C17">
        <v>4</v>
      </c>
      <c r="D17">
        <v>2000</v>
      </c>
      <c r="E17">
        <v>2003</v>
      </c>
      <c r="F17">
        <v>32</v>
      </c>
      <c r="G17">
        <v>326</v>
      </c>
      <c r="H17">
        <v>574</v>
      </c>
      <c r="I17">
        <v>56.8</v>
      </c>
      <c r="J17">
        <v>4473</v>
      </c>
      <c r="K17">
        <v>28</v>
      </c>
      <c r="L17">
        <v>4.9000000000000004</v>
      </c>
      <c r="M17">
        <v>20</v>
      </c>
      <c r="N17">
        <v>3.5</v>
      </c>
      <c r="O17">
        <v>7.8</v>
      </c>
      <c r="P17">
        <v>7.2</v>
      </c>
      <c r="Q17">
        <v>13.7</v>
      </c>
      <c r="R17">
        <v>139.80000000000001</v>
      </c>
      <c r="S17">
        <v>131.4</v>
      </c>
      <c r="T17" t="s">
        <v>38</v>
      </c>
    </row>
    <row r="18" spans="1:35" x14ac:dyDescent="0.25">
      <c r="A18">
        <v>17</v>
      </c>
      <c r="B18" t="s">
        <v>39</v>
      </c>
      <c r="C18">
        <v>3</v>
      </c>
      <c r="D18">
        <v>2021</v>
      </c>
      <c r="E18">
        <v>2023</v>
      </c>
      <c r="F18">
        <v>24</v>
      </c>
      <c r="G18">
        <v>270</v>
      </c>
      <c r="H18">
        <v>406</v>
      </c>
      <c r="I18">
        <v>66.5</v>
      </c>
      <c r="J18">
        <v>3776</v>
      </c>
      <c r="K18">
        <v>27</v>
      </c>
      <c r="L18">
        <v>6.7</v>
      </c>
      <c r="M18">
        <v>8</v>
      </c>
      <c r="N18">
        <v>2</v>
      </c>
      <c r="O18">
        <v>9.3000000000000007</v>
      </c>
      <c r="P18">
        <v>9.74</v>
      </c>
      <c r="Q18">
        <v>14</v>
      </c>
      <c r="R18">
        <v>157.30000000000001</v>
      </c>
      <c r="S18">
        <v>162.6</v>
      </c>
      <c r="T18" t="s">
        <v>40</v>
      </c>
    </row>
    <row r="19" spans="1:35" x14ac:dyDescent="0.25">
      <c r="A19">
        <v>19</v>
      </c>
      <c r="B19" t="s">
        <v>41</v>
      </c>
      <c r="C19">
        <v>4</v>
      </c>
      <c r="D19">
        <v>1994</v>
      </c>
      <c r="E19">
        <v>1997</v>
      </c>
      <c r="F19">
        <v>41</v>
      </c>
      <c r="G19">
        <v>182</v>
      </c>
      <c r="H19">
        <v>329</v>
      </c>
      <c r="I19">
        <v>55.3</v>
      </c>
      <c r="J19">
        <v>2567</v>
      </c>
      <c r="K19">
        <v>21</v>
      </c>
      <c r="L19">
        <v>6.4</v>
      </c>
      <c r="M19">
        <v>8</v>
      </c>
      <c r="N19">
        <v>2.4</v>
      </c>
      <c r="O19">
        <v>7.8</v>
      </c>
      <c r="P19">
        <v>7.98</v>
      </c>
      <c r="Q19">
        <v>14.1</v>
      </c>
      <c r="R19">
        <v>62.6</v>
      </c>
      <c r="S19">
        <v>137.1</v>
      </c>
      <c r="T19" t="s">
        <v>42</v>
      </c>
    </row>
    <row r="20" spans="1:35" x14ac:dyDescent="0.25">
      <c r="A20">
        <v>25</v>
      </c>
      <c r="B20" t="s">
        <v>43</v>
      </c>
      <c r="C20">
        <v>3</v>
      </c>
      <c r="D20">
        <v>1952</v>
      </c>
      <c r="E20">
        <v>1954</v>
      </c>
      <c r="F20">
        <v>27</v>
      </c>
      <c r="G20">
        <v>167</v>
      </c>
      <c r="H20">
        <v>293</v>
      </c>
      <c r="I20">
        <v>57</v>
      </c>
      <c r="J20">
        <v>2129</v>
      </c>
      <c r="K20">
        <v>19</v>
      </c>
      <c r="L20">
        <v>6.5</v>
      </c>
      <c r="M20">
        <v>18</v>
      </c>
      <c r="N20">
        <v>6.1</v>
      </c>
      <c r="O20">
        <v>7.3</v>
      </c>
      <c r="P20">
        <v>5.8</v>
      </c>
      <c r="Q20">
        <v>12.7</v>
      </c>
      <c r="R20">
        <v>78.900000000000006</v>
      </c>
      <c r="S20">
        <v>127.1</v>
      </c>
      <c r="T20" t="s">
        <v>44</v>
      </c>
    </row>
    <row r="21" spans="1:35" x14ac:dyDescent="0.25">
      <c r="A21">
        <v>21</v>
      </c>
      <c r="B21" t="s">
        <v>45</v>
      </c>
      <c r="C21">
        <v>3</v>
      </c>
      <c r="D21">
        <v>1968</v>
      </c>
      <c r="E21">
        <v>1970</v>
      </c>
      <c r="F21">
        <v>25</v>
      </c>
      <c r="G21">
        <v>175</v>
      </c>
      <c r="H21">
        <v>336</v>
      </c>
      <c r="I21">
        <v>52.1</v>
      </c>
      <c r="J21">
        <v>2303</v>
      </c>
      <c r="K21">
        <v>17</v>
      </c>
      <c r="L21">
        <v>5.0999999999999996</v>
      </c>
      <c r="M21">
        <v>23</v>
      </c>
      <c r="N21">
        <v>6.8</v>
      </c>
      <c r="O21">
        <v>6.9</v>
      </c>
      <c r="P21">
        <v>4.79</v>
      </c>
      <c r="Q21">
        <v>13.2</v>
      </c>
      <c r="R21">
        <v>92.1</v>
      </c>
      <c r="S21">
        <v>112.7</v>
      </c>
      <c r="T21" t="s">
        <v>46</v>
      </c>
    </row>
    <row r="22" spans="1:35" x14ac:dyDescent="0.25">
      <c r="A22">
        <v>26</v>
      </c>
      <c r="B22" t="s">
        <v>47</v>
      </c>
      <c r="C22">
        <v>4</v>
      </c>
      <c r="D22">
        <v>1972</v>
      </c>
      <c r="E22">
        <v>1975</v>
      </c>
      <c r="F22">
        <v>42</v>
      </c>
      <c r="G22">
        <v>125</v>
      </c>
      <c r="H22">
        <v>225</v>
      </c>
      <c r="I22">
        <v>55.6</v>
      </c>
      <c r="J22">
        <v>2036</v>
      </c>
      <c r="K22">
        <v>17</v>
      </c>
      <c r="L22">
        <v>7.6</v>
      </c>
      <c r="M22">
        <v>16</v>
      </c>
      <c r="N22">
        <v>7.1</v>
      </c>
      <c r="O22">
        <v>9</v>
      </c>
      <c r="P22">
        <v>7.36</v>
      </c>
      <c r="Q22">
        <v>16.3</v>
      </c>
      <c r="R22">
        <v>48.5</v>
      </c>
      <c r="S22">
        <v>142.30000000000001</v>
      </c>
      <c r="T22" t="s">
        <v>48</v>
      </c>
      <c r="V22" t="s">
        <v>49</v>
      </c>
    </row>
    <row r="23" spans="1:35" x14ac:dyDescent="0.25">
      <c r="A23">
        <v>38</v>
      </c>
      <c r="B23" t="s">
        <v>50</v>
      </c>
      <c r="C23">
        <v>3</v>
      </c>
      <c r="D23">
        <v>2010</v>
      </c>
      <c r="E23">
        <v>2013</v>
      </c>
      <c r="F23">
        <v>22</v>
      </c>
      <c r="G23">
        <v>89</v>
      </c>
      <c r="H23">
        <v>134</v>
      </c>
      <c r="I23">
        <v>66.400000000000006</v>
      </c>
      <c r="J23">
        <v>893</v>
      </c>
      <c r="K23">
        <v>16</v>
      </c>
      <c r="L23">
        <v>11.9</v>
      </c>
      <c r="M23">
        <v>4</v>
      </c>
      <c r="N23">
        <v>3</v>
      </c>
      <c r="O23">
        <v>6.7</v>
      </c>
      <c r="P23">
        <v>7.71</v>
      </c>
      <c r="Q23">
        <v>10</v>
      </c>
      <c r="R23">
        <v>40.6</v>
      </c>
      <c r="S23">
        <v>155.80000000000001</v>
      </c>
      <c r="T23" t="s">
        <v>51</v>
      </c>
      <c r="V23" t="s">
        <v>52</v>
      </c>
    </row>
    <row r="24" spans="1:35" x14ac:dyDescent="0.25">
      <c r="A24">
        <v>23</v>
      </c>
      <c r="B24" t="s">
        <v>53</v>
      </c>
      <c r="C24">
        <v>4</v>
      </c>
      <c r="D24">
        <v>1984</v>
      </c>
      <c r="E24">
        <v>1987</v>
      </c>
      <c r="F24">
        <v>34</v>
      </c>
      <c r="G24">
        <v>168</v>
      </c>
      <c r="H24">
        <v>296</v>
      </c>
      <c r="I24">
        <v>56.8</v>
      </c>
      <c r="J24">
        <v>2229</v>
      </c>
      <c r="K24">
        <v>15</v>
      </c>
      <c r="L24">
        <v>5.0999999999999996</v>
      </c>
      <c r="M24">
        <v>11</v>
      </c>
      <c r="N24">
        <v>3.7</v>
      </c>
      <c r="O24">
        <v>7.5</v>
      </c>
      <c r="P24">
        <v>6.87</v>
      </c>
      <c r="Q24">
        <v>13.3</v>
      </c>
      <c r="R24">
        <v>65.599999999999994</v>
      </c>
      <c r="S24">
        <v>129.30000000000001</v>
      </c>
      <c r="T24" t="s">
        <v>54</v>
      </c>
      <c r="V24" t="s">
        <v>55</v>
      </c>
    </row>
    <row r="25" spans="1:35" x14ac:dyDescent="0.25">
      <c r="A25">
        <v>42</v>
      </c>
      <c r="B25" t="s">
        <v>56</v>
      </c>
      <c r="C25">
        <v>3</v>
      </c>
      <c r="D25">
        <v>1949</v>
      </c>
      <c r="E25">
        <v>1951</v>
      </c>
      <c r="F25">
        <v>27</v>
      </c>
      <c r="G25">
        <v>41</v>
      </c>
      <c r="H25">
        <v>106</v>
      </c>
      <c r="I25">
        <v>38.700000000000003</v>
      </c>
      <c r="J25">
        <v>685</v>
      </c>
      <c r="K25">
        <v>14</v>
      </c>
      <c r="L25">
        <v>13.2</v>
      </c>
      <c r="M25">
        <v>10</v>
      </c>
      <c r="N25">
        <v>9.4</v>
      </c>
      <c r="O25">
        <v>6.5</v>
      </c>
      <c r="P25">
        <v>4.8600000000000003</v>
      </c>
      <c r="Q25">
        <v>16.7</v>
      </c>
      <c r="R25">
        <v>25.4</v>
      </c>
      <c r="S25">
        <v>117.7</v>
      </c>
      <c r="T25" t="s">
        <v>57</v>
      </c>
    </row>
    <row r="26" spans="1:35" x14ac:dyDescent="0.25">
      <c r="A26">
        <v>24</v>
      </c>
      <c r="B26" t="s">
        <v>58</v>
      </c>
      <c r="C26">
        <v>3</v>
      </c>
      <c r="D26">
        <v>2013</v>
      </c>
      <c r="E26">
        <v>2015</v>
      </c>
      <c r="F26">
        <v>23</v>
      </c>
      <c r="G26">
        <v>160</v>
      </c>
      <c r="H26">
        <v>257</v>
      </c>
      <c r="I26">
        <v>62.3</v>
      </c>
      <c r="J26">
        <v>2209</v>
      </c>
      <c r="K26">
        <v>13</v>
      </c>
      <c r="L26">
        <v>5.0999999999999996</v>
      </c>
      <c r="M26">
        <v>7</v>
      </c>
      <c r="N26">
        <v>2.7</v>
      </c>
      <c r="O26">
        <v>8.6</v>
      </c>
      <c r="P26">
        <v>8.3800000000000008</v>
      </c>
      <c r="Q26">
        <v>13.8</v>
      </c>
      <c r="R26">
        <v>96</v>
      </c>
      <c r="S26">
        <v>145.69999999999999</v>
      </c>
      <c r="T26" t="s">
        <v>59</v>
      </c>
    </row>
    <row r="27" spans="1:35" x14ac:dyDescent="0.25">
      <c r="A27">
        <v>33</v>
      </c>
      <c r="B27" t="s">
        <v>60</v>
      </c>
      <c r="C27">
        <v>3</v>
      </c>
      <c r="D27">
        <v>1958</v>
      </c>
      <c r="E27">
        <v>1960</v>
      </c>
      <c r="F27">
        <v>18</v>
      </c>
      <c r="G27">
        <v>78</v>
      </c>
      <c r="H27">
        <v>146</v>
      </c>
      <c r="I27">
        <v>53.4</v>
      </c>
      <c r="J27">
        <v>1176</v>
      </c>
      <c r="K27">
        <v>12</v>
      </c>
      <c r="L27">
        <v>8.1999999999999993</v>
      </c>
      <c r="M27">
        <v>6</v>
      </c>
      <c r="N27">
        <v>4.0999999999999996</v>
      </c>
      <c r="O27">
        <v>8.1</v>
      </c>
      <c r="P27">
        <v>7.85</v>
      </c>
      <c r="Q27">
        <v>15.1</v>
      </c>
      <c r="R27">
        <v>65.3</v>
      </c>
      <c r="S27">
        <v>140</v>
      </c>
      <c r="T27" t="s">
        <v>61</v>
      </c>
    </row>
    <row r="28" spans="1:35" x14ac:dyDescent="0.25">
      <c r="A28">
        <v>20</v>
      </c>
      <c r="B28" t="s">
        <v>62</v>
      </c>
      <c r="C28">
        <v>3</v>
      </c>
      <c r="D28">
        <v>1963</v>
      </c>
      <c r="E28">
        <v>1965</v>
      </c>
      <c r="F28">
        <v>27</v>
      </c>
      <c r="G28">
        <v>220</v>
      </c>
      <c r="H28">
        <v>468</v>
      </c>
      <c r="I28">
        <v>47</v>
      </c>
      <c r="J28">
        <v>2518</v>
      </c>
      <c r="K28">
        <v>12</v>
      </c>
      <c r="L28">
        <v>2.6</v>
      </c>
      <c r="M28">
        <v>26</v>
      </c>
      <c r="N28">
        <v>5.6</v>
      </c>
      <c r="O28">
        <v>5.4</v>
      </c>
      <c r="P28">
        <v>3.39</v>
      </c>
      <c r="Q28">
        <v>11.4</v>
      </c>
      <c r="R28">
        <v>93.3</v>
      </c>
      <c r="S28">
        <v>89.6</v>
      </c>
      <c r="T28" t="s">
        <v>63</v>
      </c>
    </row>
    <row r="29" spans="1:35" x14ac:dyDescent="0.25">
      <c r="A29">
        <v>30</v>
      </c>
      <c r="B29" t="s">
        <v>64</v>
      </c>
      <c r="C29">
        <v>3</v>
      </c>
      <c r="D29">
        <v>1947</v>
      </c>
      <c r="E29">
        <v>1949</v>
      </c>
      <c r="F29">
        <v>26</v>
      </c>
      <c r="G29">
        <v>87</v>
      </c>
      <c r="H29">
        <v>194</v>
      </c>
      <c r="I29">
        <v>44.8</v>
      </c>
      <c r="J29">
        <v>1260</v>
      </c>
      <c r="K29">
        <v>11</v>
      </c>
      <c r="L29">
        <v>5.7</v>
      </c>
      <c r="M29">
        <v>16</v>
      </c>
      <c r="N29">
        <v>8.1999999999999993</v>
      </c>
      <c r="O29">
        <v>6.5</v>
      </c>
      <c r="P29">
        <v>3.92</v>
      </c>
      <c r="Q29">
        <v>14.5</v>
      </c>
      <c r="R29">
        <v>48.5</v>
      </c>
      <c r="S29">
        <v>101.6</v>
      </c>
      <c r="T29" t="s">
        <v>65</v>
      </c>
      <c r="AH29" s="2" t="s">
        <v>66</v>
      </c>
      <c r="AI29" t="s">
        <v>67</v>
      </c>
    </row>
    <row r="30" spans="1:35" x14ac:dyDescent="0.25">
      <c r="A30">
        <v>36</v>
      </c>
      <c r="B30" t="s">
        <v>68</v>
      </c>
      <c r="C30">
        <v>4</v>
      </c>
      <c r="D30">
        <v>1951</v>
      </c>
      <c r="E30">
        <v>1954</v>
      </c>
      <c r="F30">
        <v>27</v>
      </c>
      <c r="G30">
        <v>81</v>
      </c>
      <c r="H30">
        <v>177</v>
      </c>
      <c r="I30">
        <v>45.8</v>
      </c>
      <c r="J30">
        <v>1046</v>
      </c>
      <c r="K30">
        <v>9</v>
      </c>
      <c r="L30">
        <v>5.0999999999999996</v>
      </c>
      <c r="M30">
        <v>17</v>
      </c>
      <c r="N30">
        <v>9.6</v>
      </c>
      <c r="O30">
        <v>5.9</v>
      </c>
      <c r="P30">
        <v>2.6</v>
      </c>
      <c r="Q30">
        <v>12.9</v>
      </c>
      <c r="R30">
        <v>38.700000000000003</v>
      </c>
      <c r="S30">
        <v>93</v>
      </c>
      <c r="T30" t="s">
        <v>69</v>
      </c>
    </row>
    <row r="31" spans="1:35" x14ac:dyDescent="0.25">
      <c r="A31">
        <v>35</v>
      </c>
      <c r="B31" t="s">
        <v>70</v>
      </c>
      <c r="C31">
        <v>4</v>
      </c>
      <c r="D31">
        <v>2000</v>
      </c>
      <c r="E31">
        <v>2003</v>
      </c>
      <c r="F31">
        <v>20</v>
      </c>
      <c r="G31">
        <v>87</v>
      </c>
      <c r="H31">
        <v>141</v>
      </c>
      <c r="I31">
        <v>61.7</v>
      </c>
      <c r="J31">
        <v>1103</v>
      </c>
      <c r="K31">
        <v>9</v>
      </c>
      <c r="L31">
        <v>6.4</v>
      </c>
      <c r="M31">
        <v>4</v>
      </c>
      <c r="N31">
        <v>2.8</v>
      </c>
      <c r="O31">
        <v>7.8</v>
      </c>
      <c r="P31">
        <v>7.82</v>
      </c>
      <c r="Q31">
        <v>12.7</v>
      </c>
      <c r="R31">
        <v>55.2</v>
      </c>
      <c r="S31">
        <v>142.80000000000001</v>
      </c>
      <c r="T31" t="s">
        <v>71</v>
      </c>
      <c r="AH31" s="2" t="s">
        <v>72</v>
      </c>
    </row>
    <row r="32" spans="1:35" x14ac:dyDescent="0.25">
      <c r="A32">
        <v>31</v>
      </c>
      <c r="B32" t="s">
        <v>73</v>
      </c>
      <c r="C32">
        <v>2</v>
      </c>
      <c r="D32">
        <v>1950</v>
      </c>
      <c r="E32">
        <v>1951</v>
      </c>
      <c r="F32">
        <v>18</v>
      </c>
      <c r="G32">
        <v>76</v>
      </c>
      <c r="H32">
        <v>171</v>
      </c>
      <c r="I32">
        <v>44.4</v>
      </c>
      <c r="J32">
        <v>1249</v>
      </c>
      <c r="K32">
        <v>8</v>
      </c>
      <c r="L32">
        <v>4.7</v>
      </c>
      <c r="M32">
        <v>16</v>
      </c>
      <c r="N32">
        <v>9.4</v>
      </c>
      <c r="O32">
        <v>7.3</v>
      </c>
      <c r="P32">
        <v>4.03</v>
      </c>
      <c r="Q32">
        <v>16.399999999999999</v>
      </c>
      <c r="R32">
        <v>69.400000000000006</v>
      </c>
      <c r="S32">
        <v>102.5</v>
      </c>
      <c r="T32" t="s">
        <v>74</v>
      </c>
      <c r="AH32">
        <v>91</v>
      </c>
    </row>
    <row r="33" spans="1:20" x14ac:dyDescent="0.25">
      <c r="A33">
        <v>43</v>
      </c>
      <c r="B33" t="s">
        <v>75</v>
      </c>
      <c r="C33">
        <v>2</v>
      </c>
      <c r="D33">
        <v>1961</v>
      </c>
      <c r="E33">
        <v>1962</v>
      </c>
      <c r="F33">
        <v>18</v>
      </c>
      <c r="G33">
        <v>46</v>
      </c>
      <c r="H33">
        <v>109</v>
      </c>
      <c r="I33">
        <v>42.2</v>
      </c>
      <c r="J33">
        <v>629</v>
      </c>
      <c r="K33">
        <v>8</v>
      </c>
      <c r="L33">
        <v>7.3</v>
      </c>
      <c r="M33">
        <v>7</v>
      </c>
      <c r="N33">
        <v>6.4</v>
      </c>
      <c r="O33">
        <v>5.8</v>
      </c>
      <c r="P33">
        <v>4.3499999999999996</v>
      </c>
      <c r="Q33">
        <v>13.7</v>
      </c>
      <c r="R33">
        <v>34.9</v>
      </c>
      <c r="S33">
        <v>102.1</v>
      </c>
      <c r="T33" t="s">
        <v>76</v>
      </c>
    </row>
    <row r="34" spans="1:20" x14ac:dyDescent="0.25">
      <c r="A34">
        <v>28</v>
      </c>
      <c r="B34" t="s">
        <v>77</v>
      </c>
      <c r="C34">
        <v>3</v>
      </c>
      <c r="D34">
        <v>1966</v>
      </c>
      <c r="E34">
        <v>1968</v>
      </c>
      <c r="F34">
        <v>27</v>
      </c>
      <c r="G34">
        <v>154</v>
      </c>
      <c r="H34">
        <v>308</v>
      </c>
      <c r="I34">
        <v>50</v>
      </c>
      <c r="J34">
        <v>1768</v>
      </c>
      <c r="K34">
        <v>8</v>
      </c>
      <c r="L34">
        <v>2.6</v>
      </c>
      <c r="M34">
        <v>18</v>
      </c>
      <c r="N34">
        <v>5.8</v>
      </c>
      <c r="O34">
        <v>5.7</v>
      </c>
      <c r="P34">
        <v>3.63</v>
      </c>
      <c r="Q34">
        <v>11.5</v>
      </c>
      <c r="R34">
        <v>65.5</v>
      </c>
      <c r="S34">
        <v>95.1</v>
      </c>
      <c r="T34" t="s">
        <v>78</v>
      </c>
    </row>
    <row r="35" spans="1:20" x14ac:dyDescent="0.25">
      <c r="A35">
        <v>37</v>
      </c>
      <c r="B35" t="s">
        <v>79</v>
      </c>
      <c r="C35">
        <v>3</v>
      </c>
      <c r="D35">
        <v>1968</v>
      </c>
      <c r="E35">
        <v>1970</v>
      </c>
      <c r="F35">
        <v>24</v>
      </c>
      <c r="G35">
        <v>60</v>
      </c>
      <c r="H35">
        <v>126</v>
      </c>
      <c r="I35">
        <v>47.6</v>
      </c>
      <c r="J35">
        <v>977</v>
      </c>
      <c r="K35">
        <v>7</v>
      </c>
      <c r="L35">
        <v>5.6</v>
      </c>
      <c r="M35">
        <v>12</v>
      </c>
      <c r="N35">
        <v>9.5</v>
      </c>
      <c r="O35">
        <v>7.8</v>
      </c>
      <c r="P35">
        <v>4.58</v>
      </c>
      <c r="Q35">
        <v>16.3</v>
      </c>
      <c r="R35">
        <v>40.700000000000003</v>
      </c>
      <c r="S35">
        <v>112</v>
      </c>
      <c r="T35" t="s">
        <v>80</v>
      </c>
    </row>
    <row r="36" spans="1:20" x14ac:dyDescent="0.25">
      <c r="A36">
        <v>32</v>
      </c>
      <c r="B36" t="s">
        <v>81</v>
      </c>
      <c r="C36">
        <v>2</v>
      </c>
      <c r="D36">
        <v>1990</v>
      </c>
      <c r="E36">
        <v>1991</v>
      </c>
      <c r="F36">
        <v>21</v>
      </c>
      <c r="G36">
        <v>92</v>
      </c>
      <c r="H36">
        <v>175</v>
      </c>
      <c r="I36">
        <v>52.6</v>
      </c>
      <c r="J36">
        <v>1189</v>
      </c>
      <c r="K36">
        <v>7</v>
      </c>
      <c r="L36">
        <v>4</v>
      </c>
      <c r="M36">
        <v>8</v>
      </c>
      <c r="N36">
        <v>4.5999999999999996</v>
      </c>
      <c r="O36">
        <v>6.8</v>
      </c>
      <c r="P36">
        <v>5.54</v>
      </c>
      <c r="Q36">
        <v>12.9</v>
      </c>
      <c r="R36">
        <v>56.6</v>
      </c>
      <c r="S36">
        <v>113.7</v>
      </c>
      <c r="T36" t="s">
        <v>82</v>
      </c>
    </row>
    <row r="37" spans="1:20" x14ac:dyDescent="0.25">
      <c r="A37">
        <v>41</v>
      </c>
      <c r="B37" t="s">
        <v>83</v>
      </c>
      <c r="C37">
        <v>1</v>
      </c>
      <c r="D37">
        <v>1993</v>
      </c>
      <c r="E37">
        <v>1993</v>
      </c>
      <c r="F37">
        <v>9</v>
      </c>
      <c r="G37">
        <v>44</v>
      </c>
      <c r="H37">
        <v>75</v>
      </c>
      <c r="I37">
        <v>58.7</v>
      </c>
      <c r="J37">
        <v>715</v>
      </c>
      <c r="K37">
        <v>7</v>
      </c>
      <c r="L37">
        <v>9.3000000000000007</v>
      </c>
      <c r="M37">
        <v>6</v>
      </c>
      <c r="N37">
        <v>8</v>
      </c>
      <c r="O37">
        <v>9.5</v>
      </c>
      <c r="P37">
        <v>7.8</v>
      </c>
      <c r="Q37">
        <v>16.3</v>
      </c>
      <c r="R37">
        <v>79.400000000000006</v>
      </c>
      <c r="S37">
        <v>153.5</v>
      </c>
      <c r="T37" t="s">
        <v>84</v>
      </c>
    </row>
    <row r="38" spans="1:20" x14ac:dyDescent="0.25">
      <c r="A38">
        <v>27</v>
      </c>
      <c r="B38" t="s">
        <v>85</v>
      </c>
      <c r="C38">
        <v>4</v>
      </c>
      <c r="D38">
        <v>2003</v>
      </c>
      <c r="E38">
        <v>2006</v>
      </c>
      <c r="F38">
        <v>25</v>
      </c>
      <c r="G38">
        <v>158</v>
      </c>
      <c r="H38">
        <v>276</v>
      </c>
      <c r="I38">
        <v>57.2</v>
      </c>
      <c r="J38">
        <v>1779</v>
      </c>
      <c r="K38">
        <v>7</v>
      </c>
      <c r="L38">
        <v>2.5</v>
      </c>
      <c r="M38">
        <v>7</v>
      </c>
      <c r="N38">
        <v>2.5</v>
      </c>
      <c r="O38">
        <v>6.4</v>
      </c>
      <c r="P38">
        <v>5.81</v>
      </c>
      <c r="Q38">
        <v>11.3</v>
      </c>
      <c r="R38">
        <v>71.2</v>
      </c>
      <c r="S38">
        <v>114.7</v>
      </c>
      <c r="T38" t="s">
        <v>86</v>
      </c>
    </row>
    <row r="39" spans="1:20" x14ac:dyDescent="0.25">
      <c r="A39">
        <v>39</v>
      </c>
      <c r="B39" t="s">
        <v>87</v>
      </c>
      <c r="C39">
        <v>4</v>
      </c>
      <c r="D39">
        <v>2008</v>
      </c>
      <c r="E39">
        <v>2011</v>
      </c>
      <c r="F39">
        <v>30</v>
      </c>
      <c r="G39">
        <v>65</v>
      </c>
      <c r="H39">
        <v>133</v>
      </c>
      <c r="I39">
        <v>48.9</v>
      </c>
      <c r="J39">
        <v>812</v>
      </c>
      <c r="K39">
        <v>7</v>
      </c>
      <c r="L39">
        <v>5.3</v>
      </c>
      <c r="M39">
        <v>2</v>
      </c>
      <c r="N39">
        <v>1.5</v>
      </c>
      <c r="O39">
        <v>6.1</v>
      </c>
      <c r="P39">
        <v>6.48</v>
      </c>
      <c r="Q39">
        <v>12.5</v>
      </c>
      <c r="R39">
        <v>27.1</v>
      </c>
      <c r="S39">
        <v>114.5</v>
      </c>
      <c r="T39" t="s">
        <v>88</v>
      </c>
    </row>
    <row r="40" spans="1:20" x14ac:dyDescent="0.25">
      <c r="A40">
        <v>58</v>
      </c>
      <c r="B40" t="s">
        <v>89</v>
      </c>
      <c r="C40">
        <v>3</v>
      </c>
      <c r="D40">
        <v>1946</v>
      </c>
      <c r="E40">
        <v>1949</v>
      </c>
      <c r="F40">
        <v>25</v>
      </c>
      <c r="G40">
        <v>21</v>
      </c>
      <c r="H40">
        <v>49</v>
      </c>
      <c r="I40">
        <v>42.9</v>
      </c>
      <c r="J40">
        <v>301</v>
      </c>
      <c r="K40">
        <v>6</v>
      </c>
      <c r="L40">
        <v>12.2</v>
      </c>
      <c r="M40">
        <v>4</v>
      </c>
      <c r="N40">
        <v>8.1999999999999993</v>
      </c>
      <c r="O40">
        <v>6.1</v>
      </c>
      <c r="P40">
        <v>4.92</v>
      </c>
      <c r="Q40">
        <v>14.3</v>
      </c>
      <c r="R40">
        <v>12</v>
      </c>
      <c r="S40">
        <v>118.5</v>
      </c>
      <c r="T40" t="s">
        <v>90</v>
      </c>
    </row>
    <row r="41" spans="1:20" x14ac:dyDescent="0.25">
      <c r="A41">
        <v>71</v>
      </c>
      <c r="B41" t="s">
        <v>91</v>
      </c>
      <c r="C41">
        <v>2</v>
      </c>
      <c r="D41">
        <v>1955</v>
      </c>
      <c r="E41">
        <v>1956</v>
      </c>
      <c r="F41">
        <v>18</v>
      </c>
      <c r="G41">
        <v>16</v>
      </c>
      <c r="H41">
        <v>43</v>
      </c>
      <c r="I41">
        <v>37.200000000000003</v>
      </c>
      <c r="J41">
        <v>146</v>
      </c>
      <c r="K41">
        <v>6</v>
      </c>
      <c r="L41">
        <v>14</v>
      </c>
      <c r="M41">
        <v>3</v>
      </c>
      <c r="N41">
        <v>7</v>
      </c>
      <c r="O41">
        <v>3.4</v>
      </c>
      <c r="P41">
        <v>3.05</v>
      </c>
      <c r="Q41">
        <v>9.1</v>
      </c>
      <c r="R41">
        <v>8.1</v>
      </c>
      <c r="S41">
        <v>97.8</v>
      </c>
      <c r="T41" t="s">
        <v>92</v>
      </c>
    </row>
    <row r="42" spans="1:20" x14ac:dyDescent="0.25">
      <c r="A42">
        <v>45</v>
      </c>
      <c r="B42" t="s">
        <v>93</v>
      </c>
      <c r="C42">
        <v>3</v>
      </c>
      <c r="D42">
        <v>1967</v>
      </c>
      <c r="E42">
        <v>1969</v>
      </c>
      <c r="F42">
        <v>13</v>
      </c>
      <c r="G42">
        <v>39</v>
      </c>
      <c r="H42">
        <v>75</v>
      </c>
      <c r="I42">
        <v>52</v>
      </c>
      <c r="J42">
        <v>536</v>
      </c>
      <c r="K42">
        <v>6</v>
      </c>
      <c r="L42">
        <v>8</v>
      </c>
      <c r="M42">
        <v>3</v>
      </c>
      <c r="N42">
        <v>4</v>
      </c>
      <c r="O42">
        <v>7.1</v>
      </c>
      <c r="P42">
        <v>6.95</v>
      </c>
      <c r="Q42">
        <v>13.7</v>
      </c>
      <c r="R42">
        <v>41.2</v>
      </c>
      <c r="S42">
        <v>130.4</v>
      </c>
      <c r="T42" t="s">
        <v>94</v>
      </c>
    </row>
    <row r="43" spans="1:20" x14ac:dyDescent="0.25">
      <c r="A43">
        <v>29</v>
      </c>
      <c r="B43" t="s">
        <v>95</v>
      </c>
      <c r="C43">
        <v>3</v>
      </c>
      <c r="D43">
        <v>1971</v>
      </c>
      <c r="E43">
        <v>1973</v>
      </c>
      <c r="F43">
        <v>28</v>
      </c>
      <c r="G43">
        <v>87</v>
      </c>
      <c r="H43">
        <v>192</v>
      </c>
      <c r="I43">
        <v>45.3</v>
      </c>
      <c r="J43">
        <v>1274</v>
      </c>
      <c r="K43">
        <v>6</v>
      </c>
      <c r="L43">
        <v>3.1</v>
      </c>
      <c r="M43">
        <v>15</v>
      </c>
      <c r="N43">
        <v>7.8</v>
      </c>
      <c r="O43">
        <v>6.6</v>
      </c>
      <c r="P43">
        <v>3.74</v>
      </c>
      <c r="Q43">
        <v>14.6</v>
      </c>
      <c r="R43">
        <v>45.5</v>
      </c>
      <c r="S43">
        <v>95.7</v>
      </c>
      <c r="T43" t="s">
        <v>96</v>
      </c>
    </row>
    <row r="44" spans="1:20" x14ac:dyDescent="0.25">
      <c r="A44">
        <v>60</v>
      </c>
      <c r="B44" t="s">
        <v>97</v>
      </c>
      <c r="C44">
        <v>2</v>
      </c>
      <c r="D44">
        <v>2018</v>
      </c>
      <c r="E44">
        <v>2019</v>
      </c>
      <c r="F44">
        <v>10</v>
      </c>
      <c r="G44">
        <v>26</v>
      </c>
      <c r="H44">
        <v>43</v>
      </c>
      <c r="I44">
        <v>60.5</v>
      </c>
      <c r="J44">
        <v>286</v>
      </c>
      <c r="K44">
        <v>6</v>
      </c>
      <c r="L44">
        <v>14</v>
      </c>
      <c r="M44">
        <v>0</v>
      </c>
      <c r="N44">
        <v>0</v>
      </c>
      <c r="O44">
        <v>6.7</v>
      </c>
      <c r="P44">
        <v>9.44</v>
      </c>
      <c r="Q44">
        <v>11</v>
      </c>
      <c r="R44">
        <v>28.6</v>
      </c>
      <c r="S44">
        <v>162.4</v>
      </c>
      <c r="T44" t="s">
        <v>98</v>
      </c>
    </row>
    <row r="45" spans="1:20" x14ac:dyDescent="0.25">
      <c r="A45">
        <v>22</v>
      </c>
      <c r="B45" t="s">
        <v>99</v>
      </c>
      <c r="C45">
        <v>4</v>
      </c>
      <c r="D45">
        <v>1989</v>
      </c>
      <c r="E45">
        <v>1992</v>
      </c>
      <c r="F45">
        <v>38</v>
      </c>
      <c r="G45">
        <v>183</v>
      </c>
      <c r="H45">
        <v>317</v>
      </c>
      <c r="I45">
        <v>57.7</v>
      </c>
      <c r="J45">
        <v>2263</v>
      </c>
      <c r="K45">
        <v>5</v>
      </c>
      <c r="L45">
        <v>1.6</v>
      </c>
      <c r="M45">
        <v>11</v>
      </c>
      <c r="N45">
        <v>3.5</v>
      </c>
      <c r="O45">
        <v>7.1</v>
      </c>
      <c r="P45">
        <v>5.89</v>
      </c>
      <c r="Q45">
        <v>12.4</v>
      </c>
      <c r="R45">
        <v>59.6</v>
      </c>
      <c r="S45">
        <v>116</v>
      </c>
      <c r="T45" t="s">
        <v>100</v>
      </c>
    </row>
    <row r="46" spans="1:20" x14ac:dyDescent="0.25">
      <c r="A46">
        <v>64</v>
      </c>
      <c r="B46" t="s">
        <v>101</v>
      </c>
      <c r="C46">
        <v>4</v>
      </c>
      <c r="D46">
        <v>1976</v>
      </c>
      <c r="E46">
        <v>1979</v>
      </c>
      <c r="F46">
        <v>41</v>
      </c>
      <c r="G46">
        <v>18</v>
      </c>
      <c r="H46">
        <v>40</v>
      </c>
      <c r="I46">
        <v>45</v>
      </c>
      <c r="J46">
        <v>231</v>
      </c>
      <c r="K46">
        <v>4</v>
      </c>
      <c r="L46">
        <v>10</v>
      </c>
      <c r="M46">
        <v>0</v>
      </c>
      <c r="N46">
        <v>0</v>
      </c>
      <c r="O46">
        <v>5.8</v>
      </c>
      <c r="P46">
        <v>7.78</v>
      </c>
      <c r="Q46">
        <v>12.8</v>
      </c>
      <c r="R46">
        <v>5.6</v>
      </c>
      <c r="S46">
        <v>126.5</v>
      </c>
      <c r="T46" t="s">
        <v>102</v>
      </c>
    </row>
    <row r="47" spans="1:20" x14ac:dyDescent="0.25">
      <c r="A47">
        <v>46</v>
      </c>
      <c r="B47" t="s">
        <v>103</v>
      </c>
      <c r="C47">
        <v>1</v>
      </c>
      <c r="D47">
        <v>1942</v>
      </c>
      <c r="E47">
        <v>1942</v>
      </c>
      <c r="F47">
        <v>10</v>
      </c>
      <c r="G47">
        <v>20</v>
      </c>
      <c r="H47">
        <v>41</v>
      </c>
      <c r="I47">
        <v>48.8</v>
      </c>
      <c r="J47">
        <v>517</v>
      </c>
      <c r="K47">
        <v>3</v>
      </c>
      <c r="L47">
        <v>7.3</v>
      </c>
      <c r="M47">
        <v>3</v>
      </c>
      <c r="N47">
        <v>7.3</v>
      </c>
      <c r="O47">
        <v>12.6</v>
      </c>
      <c r="P47">
        <v>10.78</v>
      </c>
      <c r="Q47">
        <v>25.9</v>
      </c>
      <c r="R47">
        <v>51.7</v>
      </c>
      <c r="S47">
        <v>164.2</v>
      </c>
      <c r="T47" t="s">
        <v>104</v>
      </c>
    </row>
    <row r="48" spans="1:20" x14ac:dyDescent="0.25">
      <c r="A48">
        <v>47</v>
      </c>
      <c r="B48" t="s">
        <v>105</v>
      </c>
      <c r="C48">
        <v>2</v>
      </c>
      <c r="D48">
        <v>1942</v>
      </c>
      <c r="E48">
        <v>1944</v>
      </c>
      <c r="F48">
        <v>19</v>
      </c>
      <c r="G48">
        <v>25</v>
      </c>
      <c r="H48">
        <v>50</v>
      </c>
      <c r="I48">
        <v>50</v>
      </c>
      <c r="J48">
        <v>509</v>
      </c>
      <c r="K48">
        <v>3</v>
      </c>
      <c r="L48">
        <v>6</v>
      </c>
      <c r="M48">
        <v>5</v>
      </c>
      <c r="N48">
        <v>10</v>
      </c>
      <c r="O48">
        <v>10.199999999999999</v>
      </c>
      <c r="P48">
        <v>6.88</v>
      </c>
      <c r="Q48">
        <v>20.399999999999999</v>
      </c>
      <c r="R48">
        <v>26.8</v>
      </c>
      <c r="S48">
        <v>135.30000000000001</v>
      </c>
      <c r="T48" t="s">
        <v>106</v>
      </c>
    </row>
    <row r="49" spans="1:20" x14ac:dyDescent="0.25">
      <c r="A49">
        <v>62</v>
      </c>
      <c r="B49" t="s">
        <v>107</v>
      </c>
      <c r="C49">
        <v>3</v>
      </c>
      <c r="D49">
        <v>1949</v>
      </c>
      <c r="E49">
        <v>1952</v>
      </c>
      <c r="F49">
        <v>18</v>
      </c>
      <c r="G49">
        <v>18</v>
      </c>
      <c r="H49">
        <v>33</v>
      </c>
      <c r="I49">
        <v>54.5</v>
      </c>
      <c r="J49">
        <v>265</v>
      </c>
      <c r="K49">
        <v>3</v>
      </c>
      <c r="L49">
        <v>9.1</v>
      </c>
      <c r="M49">
        <v>3</v>
      </c>
      <c r="N49">
        <v>9.1</v>
      </c>
      <c r="O49">
        <v>8</v>
      </c>
      <c r="P49">
        <v>5.76</v>
      </c>
      <c r="Q49">
        <v>14.7</v>
      </c>
      <c r="R49">
        <v>14.7</v>
      </c>
      <c r="S49">
        <v>133.80000000000001</v>
      </c>
      <c r="T49" t="s">
        <v>108</v>
      </c>
    </row>
    <row r="50" spans="1:20" x14ac:dyDescent="0.25">
      <c r="A50">
        <v>44</v>
      </c>
      <c r="B50" t="s">
        <v>109</v>
      </c>
      <c r="C50">
        <v>3</v>
      </c>
      <c r="D50">
        <v>1956</v>
      </c>
      <c r="E50">
        <v>1958</v>
      </c>
      <c r="F50">
        <v>27</v>
      </c>
      <c r="G50">
        <v>34</v>
      </c>
      <c r="H50">
        <v>89</v>
      </c>
      <c r="I50">
        <v>38.200000000000003</v>
      </c>
      <c r="J50">
        <v>559</v>
      </c>
      <c r="K50">
        <v>3</v>
      </c>
      <c r="L50">
        <v>3.4</v>
      </c>
      <c r="M50">
        <v>4</v>
      </c>
      <c r="N50">
        <v>4.5</v>
      </c>
      <c r="O50">
        <v>6.3</v>
      </c>
      <c r="P50">
        <v>4.93</v>
      </c>
      <c r="Q50">
        <v>16.399999999999999</v>
      </c>
      <c r="R50">
        <v>20.7</v>
      </c>
      <c r="S50">
        <v>93.1</v>
      </c>
      <c r="T50" t="s">
        <v>110</v>
      </c>
    </row>
    <row r="51" spans="1:20" x14ac:dyDescent="0.25">
      <c r="A51">
        <v>34</v>
      </c>
      <c r="B51" t="s">
        <v>111</v>
      </c>
      <c r="C51">
        <v>4</v>
      </c>
      <c r="D51">
        <v>1975</v>
      </c>
      <c r="E51">
        <v>1978</v>
      </c>
      <c r="F51">
        <v>42</v>
      </c>
      <c r="G51">
        <v>74</v>
      </c>
      <c r="H51">
        <v>135</v>
      </c>
      <c r="I51">
        <v>54.8</v>
      </c>
      <c r="J51">
        <v>1111</v>
      </c>
      <c r="K51">
        <v>3</v>
      </c>
      <c r="L51">
        <v>2.2000000000000002</v>
      </c>
      <c r="M51">
        <v>12</v>
      </c>
      <c r="N51">
        <v>8.9</v>
      </c>
      <c r="O51">
        <v>8.1999999999999993</v>
      </c>
      <c r="P51">
        <v>4.67</v>
      </c>
      <c r="Q51">
        <v>15</v>
      </c>
      <c r="R51">
        <v>26.5</v>
      </c>
      <c r="S51">
        <v>113.5</v>
      </c>
      <c r="T51" t="s">
        <v>112</v>
      </c>
    </row>
    <row r="52" spans="1:20" x14ac:dyDescent="0.25">
      <c r="A52">
        <v>88</v>
      </c>
      <c r="B52" t="s">
        <v>113</v>
      </c>
      <c r="C52">
        <v>4</v>
      </c>
      <c r="D52">
        <v>1994</v>
      </c>
      <c r="E52">
        <v>1997</v>
      </c>
      <c r="F52">
        <v>19</v>
      </c>
      <c r="G52">
        <v>6</v>
      </c>
      <c r="H52">
        <v>16</v>
      </c>
      <c r="I52">
        <v>37.5</v>
      </c>
      <c r="J52">
        <v>82</v>
      </c>
      <c r="K52">
        <v>3</v>
      </c>
      <c r="L52">
        <v>18.8</v>
      </c>
      <c r="M52">
        <v>0</v>
      </c>
      <c r="N52">
        <v>0</v>
      </c>
      <c r="O52">
        <v>5.0999999999999996</v>
      </c>
      <c r="P52">
        <v>8.8800000000000008</v>
      </c>
      <c r="Q52">
        <v>13.7</v>
      </c>
      <c r="R52">
        <v>4.3</v>
      </c>
      <c r="S52">
        <v>142.4</v>
      </c>
      <c r="T52" t="s">
        <v>114</v>
      </c>
    </row>
    <row r="53" spans="1:20" x14ac:dyDescent="0.25">
      <c r="A53">
        <v>55</v>
      </c>
      <c r="B53" t="s">
        <v>115</v>
      </c>
      <c r="C53">
        <v>3</v>
      </c>
      <c r="D53">
        <v>2022</v>
      </c>
      <c r="E53">
        <v>2024</v>
      </c>
      <c r="F53">
        <v>15</v>
      </c>
      <c r="G53">
        <v>27</v>
      </c>
      <c r="H53">
        <v>48</v>
      </c>
      <c r="I53">
        <v>56.3</v>
      </c>
      <c r="J53">
        <v>331</v>
      </c>
      <c r="K53">
        <v>3</v>
      </c>
      <c r="L53">
        <v>6.3</v>
      </c>
      <c r="M53">
        <v>1</v>
      </c>
      <c r="N53">
        <v>2.1</v>
      </c>
      <c r="O53">
        <v>6.9</v>
      </c>
      <c r="P53">
        <v>7.21</v>
      </c>
      <c r="Q53">
        <v>12.3</v>
      </c>
      <c r="R53">
        <v>22.1</v>
      </c>
      <c r="S53">
        <v>130.6</v>
      </c>
      <c r="T53" t="s">
        <v>116</v>
      </c>
    </row>
    <row r="54" spans="1:20" x14ac:dyDescent="0.25">
      <c r="A54">
        <v>66</v>
      </c>
      <c r="B54" t="s">
        <v>117</v>
      </c>
      <c r="C54">
        <v>1</v>
      </c>
      <c r="D54">
        <v>1942</v>
      </c>
      <c r="E54">
        <v>1942</v>
      </c>
      <c r="F54">
        <v>8</v>
      </c>
      <c r="G54">
        <v>12</v>
      </c>
      <c r="H54">
        <v>30</v>
      </c>
      <c r="I54">
        <v>40</v>
      </c>
      <c r="J54">
        <v>211</v>
      </c>
      <c r="K54">
        <v>2</v>
      </c>
      <c r="L54">
        <v>6.7</v>
      </c>
      <c r="M54">
        <v>3</v>
      </c>
      <c r="N54">
        <v>10</v>
      </c>
      <c r="O54">
        <v>7</v>
      </c>
      <c r="P54">
        <v>3.87</v>
      </c>
      <c r="Q54">
        <v>17.600000000000001</v>
      </c>
      <c r="R54">
        <v>26.4</v>
      </c>
      <c r="S54">
        <v>101.1</v>
      </c>
      <c r="T54" t="s">
        <v>118</v>
      </c>
    </row>
    <row r="55" spans="1:20" x14ac:dyDescent="0.25">
      <c r="A55">
        <v>68</v>
      </c>
      <c r="B55" t="s">
        <v>119</v>
      </c>
      <c r="C55">
        <v>1</v>
      </c>
      <c r="D55">
        <v>1944</v>
      </c>
      <c r="E55">
        <v>1944</v>
      </c>
      <c r="F55">
        <v>9</v>
      </c>
      <c r="G55">
        <v>9</v>
      </c>
      <c r="H55">
        <v>35</v>
      </c>
      <c r="I55">
        <v>25.7</v>
      </c>
      <c r="J55">
        <v>164</v>
      </c>
      <c r="K55">
        <v>2</v>
      </c>
      <c r="L55">
        <v>5.7</v>
      </c>
      <c r="M55">
        <v>2</v>
      </c>
      <c r="N55">
        <v>5.7</v>
      </c>
      <c r="O55">
        <v>4.7</v>
      </c>
      <c r="P55">
        <v>3.26</v>
      </c>
      <c r="Q55">
        <v>18.2</v>
      </c>
      <c r="R55">
        <v>18.2</v>
      </c>
      <c r="S55">
        <v>72.5</v>
      </c>
      <c r="T55" t="s">
        <v>120</v>
      </c>
    </row>
    <row r="56" spans="1:20" x14ac:dyDescent="0.25">
      <c r="A56">
        <v>72</v>
      </c>
      <c r="B56" t="s">
        <v>121</v>
      </c>
      <c r="C56">
        <v>3</v>
      </c>
      <c r="D56">
        <v>1956</v>
      </c>
      <c r="E56">
        <v>1958</v>
      </c>
      <c r="F56">
        <v>16</v>
      </c>
      <c r="G56">
        <v>8</v>
      </c>
      <c r="H56">
        <v>13</v>
      </c>
      <c r="I56">
        <v>61.5</v>
      </c>
      <c r="J56">
        <v>139</v>
      </c>
      <c r="K56">
        <v>2</v>
      </c>
      <c r="L56">
        <v>15.4</v>
      </c>
      <c r="M56">
        <v>1</v>
      </c>
      <c r="N56">
        <v>7.7</v>
      </c>
      <c r="O56">
        <v>10.7</v>
      </c>
      <c r="P56">
        <v>10.31</v>
      </c>
      <c r="Q56">
        <v>17.399999999999999</v>
      </c>
      <c r="R56">
        <v>8.6999999999999993</v>
      </c>
      <c r="S56">
        <v>186.7</v>
      </c>
      <c r="T56" t="s">
        <v>122</v>
      </c>
    </row>
    <row r="57" spans="1:20" x14ac:dyDescent="0.25">
      <c r="A57">
        <v>50</v>
      </c>
      <c r="B57" t="s">
        <v>123</v>
      </c>
      <c r="C57">
        <v>2</v>
      </c>
      <c r="D57">
        <v>1958</v>
      </c>
      <c r="E57">
        <v>1959</v>
      </c>
      <c r="F57">
        <v>18</v>
      </c>
      <c r="G57">
        <v>29</v>
      </c>
      <c r="H57">
        <v>71</v>
      </c>
      <c r="I57">
        <v>40.799999999999997</v>
      </c>
      <c r="J57">
        <v>431</v>
      </c>
      <c r="K57">
        <v>2</v>
      </c>
      <c r="L57">
        <v>2.8</v>
      </c>
      <c r="M57">
        <v>7</v>
      </c>
      <c r="N57">
        <v>9.9</v>
      </c>
      <c r="O57">
        <v>6.1</v>
      </c>
      <c r="P57">
        <v>2.2000000000000002</v>
      </c>
      <c r="Q57">
        <v>14.9</v>
      </c>
      <c r="R57">
        <v>23.9</v>
      </c>
      <c r="S57">
        <v>81.400000000000006</v>
      </c>
      <c r="T57" t="s">
        <v>124</v>
      </c>
    </row>
    <row r="58" spans="1:20" x14ac:dyDescent="0.25">
      <c r="A58">
        <v>70</v>
      </c>
      <c r="B58" t="s">
        <v>125</v>
      </c>
      <c r="C58">
        <v>3</v>
      </c>
      <c r="D58">
        <v>1960</v>
      </c>
      <c r="E58">
        <v>1962</v>
      </c>
      <c r="F58">
        <v>22</v>
      </c>
      <c r="G58">
        <v>7</v>
      </c>
      <c r="H58">
        <v>19</v>
      </c>
      <c r="I58">
        <v>36.799999999999997</v>
      </c>
      <c r="J58">
        <v>148</v>
      </c>
      <c r="K58">
        <v>2</v>
      </c>
      <c r="L58">
        <v>10.5</v>
      </c>
      <c r="M58">
        <v>0</v>
      </c>
      <c r="N58">
        <v>0</v>
      </c>
      <c r="O58">
        <v>7.8</v>
      </c>
      <c r="P58">
        <v>9.89</v>
      </c>
      <c r="Q58">
        <v>21.1</v>
      </c>
      <c r="R58">
        <v>6.7</v>
      </c>
      <c r="S58">
        <v>137</v>
      </c>
      <c r="T58" t="s">
        <v>126</v>
      </c>
    </row>
    <row r="59" spans="1:20" x14ac:dyDescent="0.25">
      <c r="A59">
        <v>40</v>
      </c>
      <c r="B59" t="s">
        <v>127</v>
      </c>
      <c r="C59">
        <v>1</v>
      </c>
      <c r="D59">
        <v>1971</v>
      </c>
      <c r="E59">
        <v>1971</v>
      </c>
      <c r="F59">
        <v>9</v>
      </c>
      <c r="G59">
        <v>54</v>
      </c>
      <c r="H59">
        <v>107</v>
      </c>
      <c r="I59">
        <v>50.5</v>
      </c>
      <c r="J59">
        <v>718</v>
      </c>
      <c r="K59">
        <v>2</v>
      </c>
      <c r="L59">
        <v>1.9</v>
      </c>
      <c r="M59">
        <v>5</v>
      </c>
      <c r="N59">
        <v>4.7</v>
      </c>
      <c r="O59">
        <v>6.7</v>
      </c>
      <c r="P59">
        <v>4.9800000000000004</v>
      </c>
      <c r="Q59">
        <v>13.3</v>
      </c>
      <c r="R59">
        <v>79.8</v>
      </c>
      <c r="S59">
        <v>103.7</v>
      </c>
      <c r="T59" t="s">
        <v>128</v>
      </c>
    </row>
    <row r="60" spans="1:20" x14ac:dyDescent="0.25">
      <c r="A60">
        <v>85</v>
      </c>
      <c r="B60" t="s">
        <v>129</v>
      </c>
      <c r="C60">
        <v>3</v>
      </c>
      <c r="D60">
        <v>1972</v>
      </c>
      <c r="E60">
        <v>1974</v>
      </c>
      <c r="F60">
        <v>31</v>
      </c>
      <c r="G60">
        <v>8</v>
      </c>
      <c r="H60">
        <v>18</v>
      </c>
      <c r="I60">
        <v>44.4</v>
      </c>
      <c r="J60">
        <v>93</v>
      </c>
      <c r="K60">
        <v>2</v>
      </c>
      <c r="L60">
        <v>11.1</v>
      </c>
      <c r="M60">
        <v>1</v>
      </c>
      <c r="N60">
        <v>5.6</v>
      </c>
      <c r="O60">
        <v>5.2</v>
      </c>
      <c r="P60">
        <v>4.8899999999999997</v>
      </c>
      <c r="Q60">
        <v>11.6</v>
      </c>
      <c r="R60">
        <v>3</v>
      </c>
      <c r="S60">
        <v>113.4</v>
      </c>
      <c r="T60" t="s">
        <v>130</v>
      </c>
    </row>
    <row r="61" spans="1:20" x14ac:dyDescent="0.25">
      <c r="A61">
        <v>51</v>
      </c>
      <c r="B61" t="s">
        <v>131</v>
      </c>
      <c r="C61">
        <v>2</v>
      </c>
      <c r="D61">
        <v>1982</v>
      </c>
      <c r="E61">
        <v>1983</v>
      </c>
      <c r="F61">
        <v>10</v>
      </c>
      <c r="G61">
        <v>26</v>
      </c>
      <c r="H61">
        <v>56</v>
      </c>
      <c r="I61">
        <v>46.4</v>
      </c>
      <c r="J61">
        <v>428</v>
      </c>
      <c r="K61">
        <v>2</v>
      </c>
      <c r="L61">
        <v>3.6</v>
      </c>
      <c r="M61">
        <v>5</v>
      </c>
      <c r="N61">
        <v>8.9</v>
      </c>
      <c r="O61">
        <v>7.6</v>
      </c>
      <c r="P61">
        <v>4.34</v>
      </c>
      <c r="Q61">
        <v>16.5</v>
      </c>
      <c r="R61">
        <v>42.8</v>
      </c>
      <c r="S61">
        <v>104.6</v>
      </c>
      <c r="T61" t="s">
        <v>132</v>
      </c>
    </row>
    <row r="62" spans="1:20" x14ac:dyDescent="0.25">
      <c r="A62">
        <v>65</v>
      </c>
      <c r="B62" t="s">
        <v>133</v>
      </c>
      <c r="C62">
        <v>4</v>
      </c>
      <c r="D62">
        <v>1996</v>
      </c>
      <c r="E62">
        <v>1999</v>
      </c>
      <c r="F62">
        <v>35</v>
      </c>
      <c r="G62">
        <v>10</v>
      </c>
      <c r="H62">
        <v>11</v>
      </c>
      <c r="I62">
        <v>90.9</v>
      </c>
      <c r="J62">
        <v>225</v>
      </c>
      <c r="K62">
        <v>2</v>
      </c>
      <c r="L62">
        <v>18.2</v>
      </c>
      <c r="M62">
        <v>0</v>
      </c>
      <c r="N62">
        <v>0</v>
      </c>
      <c r="O62">
        <v>20.5</v>
      </c>
      <c r="P62">
        <v>24.09</v>
      </c>
      <c r="Q62">
        <v>22.5</v>
      </c>
      <c r="R62">
        <v>6.4</v>
      </c>
      <c r="S62">
        <v>322.7</v>
      </c>
      <c r="T62" t="s">
        <v>134</v>
      </c>
    </row>
    <row r="63" spans="1:20" x14ac:dyDescent="0.25">
      <c r="A63">
        <v>54</v>
      </c>
      <c r="B63" t="s">
        <v>135</v>
      </c>
      <c r="C63">
        <v>2</v>
      </c>
      <c r="D63">
        <v>1997</v>
      </c>
      <c r="E63">
        <v>1998</v>
      </c>
      <c r="F63">
        <v>15</v>
      </c>
      <c r="G63">
        <v>21</v>
      </c>
      <c r="H63">
        <v>49</v>
      </c>
      <c r="I63">
        <v>42.9</v>
      </c>
      <c r="J63">
        <v>364</v>
      </c>
      <c r="K63">
        <v>2</v>
      </c>
      <c r="L63">
        <v>4.0999999999999996</v>
      </c>
      <c r="M63">
        <v>1</v>
      </c>
      <c r="N63">
        <v>2</v>
      </c>
      <c r="O63">
        <v>7.4</v>
      </c>
      <c r="P63">
        <v>7.33</v>
      </c>
      <c r="Q63">
        <v>17.3</v>
      </c>
      <c r="R63">
        <v>24.3</v>
      </c>
      <c r="S63">
        <v>114.6</v>
      </c>
      <c r="T63" t="s">
        <v>136</v>
      </c>
    </row>
    <row r="64" spans="1:20" x14ac:dyDescent="0.25">
      <c r="A64">
        <v>49</v>
      </c>
      <c r="B64" t="s">
        <v>137</v>
      </c>
      <c r="C64">
        <v>2</v>
      </c>
      <c r="D64">
        <v>1998</v>
      </c>
      <c r="E64">
        <v>1999</v>
      </c>
      <c r="F64">
        <v>14</v>
      </c>
      <c r="G64">
        <v>36</v>
      </c>
      <c r="H64">
        <v>76</v>
      </c>
      <c r="I64">
        <v>47.4</v>
      </c>
      <c r="J64">
        <v>435</v>
      </c>
      <c r="K64">
        <v>2</v>
      </c>
      <c r="L64">
        <v>2.6</v>
      </c>
      <c r="M64">
        <v>5</v>
      </c>
      <c r="N64">
        <v>6.6</v>
      </c>
      <c r="O64">
        <v>5.7</v>
      </c>
      <c r="P64">
        <v>3.29</v>
      </c>
      <c r="Q64">
        <v>12.1</v>
      </c>
      <c r="R64">
        <v>31.1</v>
      </c>
      <c r="S64">
        <v>91</v>
      </c>
      <c r="T64" t="s">
        <v>138</v>
      </c>
    </row>
    <row r="65" spans="1:20" x14ac:dyDescent="0.25">
      <c r="A65">
        <v>59</v>
      </c>
      <c r="B65" t="s">
        <v>139</v>
      </c>
      <c r="C65">
        <v>2</v>
      </c>
      <c r="D65">
        <v>2016</v>
      </c>
      <c r="E65">
        <v>2017</v>
      </c>
      <c r="F65">
        <v>11</v>
      </c>
      <c r="G65">
        <v>29</v>
      </c>
      <c r="H65">
        <v>39</v>
      </c>
      <c r="I65">
        <v>74.400000000000006</v>
      </c>
      <c r="J65">
        <v>287</v>
      </c>
      <c r="K65">
        <v>2</v>
      </c>
      <c r="L65">
        <v>5.0999999999999996</v>
      </c>
      <c r="M65">
        <v>0</v>
      </c>
      <c r="N65">
        <v>0</v>
      </c>
      <c r="O65">
        <v>7.4</v>
      </c>
      <c r="P65">
        <v>8.3800000000000008</v>
      </c>
      <c r="Q65">
        <v>9.9</v>
      </c>
      <c r="R65">
        <v>26.1</v>
      </c>
      <c r="S65">
        <v>153.1</v>
      </c>
      <c r="T65" t="s">
        <v>140</v>
      </c>
    </row>
    <row r="66" spans="1:20" x14ac:dyDescent="0.25">
      <c r="A66">
        <v>57</v>
      </c>
      <c r="B66" t="s">
        <v>141</v>
      </c>
      <c r="C66">
        <v>2</v>
      </c>
      <c r="D66">
        <v>1942</v>
      </c>
      <c r="E66">
        <v>1946</v>
      </c>
      <c r="F66">
        <v>18</v>
      </c>
      <c r="G66">
        <v>14</v>
      </c>
      <c r="H66">
        <v>29</v>
      </c>
      <c r="I66">
        <v>48.3</v>
      </c>
      <c r="J66">
        <v>304</v>
      </c>
      <c r="K66">
        <v>1</v>
      </c>
      <c r="L66">
        <v>3.4</v>
      </c>
      <c r="M66">
        <v>4</v>
      </c>
      <c r="N66">
        <v>13.8</v>
      </c>
      <c r="O66">
        <v>10.5</v>
      </c>
      <c r="P66">
        <v>4.97</v>
      </c>
      <c r="Q66">
        <v>21.7</v>
      </c>
      <c r="R66">
        <v>16.899999999999999</v>
      </c>
      <c r="S66">
        <v>120.1</v>
      </c>
      <c r="T66" t="s">
        <v>142</v>
      </c>
    </row>
    <row r="67" spans="1:20" x14ac:dyDescent="0.25">
      <c r="A67">
        <v>81</v>
      </c>
      <c r="B67" t="s">
        <v>143</v>
      </c>
      <c r="C67">
        <v>1</v>
      </c>
      <c r="D67">
        <v>1944</v>
      </c>
      <c r="E67">
        <v>1944</v>
      </c>
      <c r="F67">
        <v>9</v>
      </c>
      <c r="G67">
        <v>4</v>
      </c>
      <c r="H67">
        <v>12</v>
      </c>
      <c r="I67">
        <v>33.299999999999997</v>
      </c>
      <c r="J67">
        <v>99</v>
      </c>
      <c r="K67">
        <v>1</v>
      </c>
      <c r="L67">
        <v>8.3000000000000007</v>
      </c>
      <c r="M67">
        <v>1</v>
      </c>
      <c r="N67">
        <v>8.3000000000000007</v>
      </c>
      <c r="O67">
        <v>8.3000000000000007</v>
      </c>
      <c r="P67">
        <v>6.17</v>
      </c>
      <c r="Q67">
        <v>24.8</v>
      </c>
      <c r="R67">
        <v>11</v>
      </c>
      <c r="S67">
        <v>113.5</v>
      </c>
      <c r="T67" t="s">
        <v>144</v>
      </c>
    </row>
    <row r="68" spans="1:20" x14ac:dyDescent="0.25">
      <c r="A68">
        <v>101</v>
      </c>
      <c r="B68" t="s">
        <v>145</v>
      </c>
      <c r="C68">
        <v>1</v>
      </c>
      <c r="D68">
        <v>1944</v>
      </c>
      <c r="E68">
        <v>1944</v>
      </c>
      <c r="F68">
        <v>9</v>
      </c>
      <c r="G68">
        <v>2</v>
      </c>
      <c r="H68">
        <v>5</v>
      </c>
      <c r="I68">
        <v>40</v>
      </c>
      <c r="J68">
        <v>42</v>
      </c>
      <c r="K68">
        <v>1</v>
      </c>
      <c r="L68">
        <v>20</v>
      </c>
      <c r="M68">
        <v>0</v>
      </c>
      <c r="N68">
        <v>0</v>
      </c>
      <c r="O68">
        <v>8.4</v>
      </c>
      <c r="P68">
        <v>12.4</v>
      </c>
      <c r="Q68">
        <v>21</v>
      </c>
      <c r="R68">
        <v>4.7</v>
      </c>
      <c r="S68">
        <v>176.6</v>
      </c>
      <c r="T68" t="s">
        <v>146</v>
      </c>
    </row>
    <row r="69" spans="1:20" x14ac:dyDescent="0.25">
      <c r="A69">
        <v>69</v>
      </c>
      <c r="B69" t="s">
        <v>147</v>
      </c>
      <c r="C69">
        <v>3</v>
      </c>
      <c r="D69">
        <v>1946</v>
      </c>
      <c r="E69">
        <v>1948</v>
      </c>
      <c r="F69">
        <v>25</v>
      </c>
      <c r="G69">
        <v>6</v>
      </c>
      <c r="H69">
        <v>14</v>
      </c>
      <c r="I69">
        <v>42.9</v>
      </c>
      <c r="J69">
        <v>163</v>
      </c>
      <c r="K69">
        <v>1</v>
      </c>
      <c r="L69">
        <v>7.1</v>
      </c>
      <c r="M69">
        <v>2</v>
      </c>
      <c r="N69">
        <v>14.3</v>
      </c>
      <c r="O69">
        <v>11.6</v>
      </c>
      <c r="P69">
        <v>6.64</v>
      </c>
      <c r="Q69">
        <v>27.2</v>
      </c>
      <c r="R69">
        <v>6.5</v>
      </c>
      <c r="S69">
        <v>135.69999999999999</v>
      </c>
      <c r="T69" t="s">
        <v>148</v>
      </c>
    </row>
    <row r="70" spans="1:20" x14ac:dyDescent="0.25">
      <c r="A70">
        <v>92</v>
      </c>
      <c r="B70" t="s">
        <v>149</v>
      </c>
      <c r="C70">
        <v>1</v>
      </c>
      <c r="D70">
        <v>1948</v>
      </c>
      <c r="E70">
        <v>1948</v>
      </c>
      <c r="F70">
        <v>8</v>
      </c>
      <c r="G70">
        <v>2</v>
      </c>
      <c r="H70">
        <v>6</v>
      </c>
      <c r="I70">
        <v>33.299999999999997</v>
      </c>
      <c r="J70">
        <v>66</v>
      </c>
      <c r="K70">
        <v>1</v>
      </c>
      <c r="L70">
        <v>16.7</v>
      </c>
      <c r="M70">
        <v>0</v>
      </c>
      <c r="N70">
        <v>0</v>
      </c>
      <c r="O70">
        <v>11</v>
      </c>
      <c r="P70">
        <v>14.33</v>
      </c>
      <c r="Q70">
        <v>33</v>
      </c>
      <c r="R70">
        <v>8.3000000000000007</v>
      </c>
      <c r="S70">
        <v>180.7</v>
      </c>
      <c r="T70" t="s">
        <v>150</v>
      </c>
    </row>
    <row r="71" spans="1:20" x14ac:dyDescent="0.25">
      <c r="A71">
        <v>77</v>
      </c>
      <c r="B71" t="s">
        <v>151</v>
      </c>
      <c r="C71">
        <v>3</v>
      </c>
      <c r="D71">
        <v>1950</v>
      </c>
      <c r="E71">
        <v>1952</v>
      </c>
      <c r="F71">
        <v>27</v>
      </c>
      <c r="G71">
        <v>8</v>
      </c>
      <c r="H71">
        <v>18</v>
      </c>
      <c r="I71">
        <v>44.4</v>
      </c>
      <c r="J71">
        <v>108</v>
      </c>
      <c r="K71">
        <v>1</v>
      </c>
      <c r="L71">
        <v>5.6</v>
      </c>
      <c r="M71">
        <v>2</v>
      </c>
      <c r="N71">
        <v>11.1</v>
      </c>
      <c r="O71">
        <v>6</v>
      </c>
      <c r="P71">
        <v>2.11</v>
      </c>
      <c r="Q71">
        <v>13.5</v>
      </c>
      <c r="R71">
        <v>4</v>
      </c>
      <c r="S71">
        <v>91</v>
      </c>
      <c r="T71" t="s">
        <v>152</v>
      </c>
    </row>
    <row r="72" spans="1:20" x14ac:dyDescent="0.25">
      <c r="A72">
        <v>126</v>
      </c>
      <c r="B72" t="s">
        <v>153</v>
      </c>
      <c r="C72">
        <v>2</v>
      </c>
      <c r="D72">
        <v>1950</v>
      </c>
      <c r="E72">
        <v>1951</v>
      </c>
      <c r="F72">
        <v>18</v>
      </c>
      <c r="G72">
        <v>3</v>
      </c>
      <c r="H72">
        <v>9</v>
      </c>
      <c r="I72">
        <v>33.299999999999997</v>
      </c>
      <c r="J72">
        <v>16</v>
      </c>
      <c r="K72">
        <v>1</v>
      </c>
      <c r="L72">
        <v>11.1</v>
      </c>
      <c r="M72">
        <v>1</v>
      </c>
      <c r="N72">
        <v>11.1</v>
      </c>
      <c r="O72">
        <v>1.8</v>
      </c>
      <c r="P72">
        <v>-1</v>
      </c>
      <c r="Q72">
        <v>5.3</v>
      </c>
      <c r="R72">
        <v>0.9</v>
      </c>
      <c r="S72">
        <v>62.7</v>
      </c>
      <c r="T72" t="s">
        <v>154</v>
      </c>
    </row>
    <row r="73" spans="1:20" x14ac:dyDescent="0.25">
      <c r="A73">
        <v>141</v>
      </c>
      <c r="B73" t="s">
        <v>155</v>
      </c>
      <c r="C73">
        <v>1</v>
      </c>
      <c r="D73">
        <v>1950</v>
      </c>
      <c r="E73">
        <v>1950</v>
      </c>
      <c r="F73">
        <v>9</v>
      </c>
      <c r="G73">
        <v>1</v>
      </c>
      <c r="H73">
        <v>4</v>
      </c>
      <c r="I73">
        <v>25</v>
      </c>
      <c r="J73">
        <v>7</v>
      </c>
      <c r="K73">
        <v>1</v>
      </c>
      <c r="L73">
        <v>25</v>
      </c>
      <c r="M73">
        <v>0</v>
      </c>
      <c r="N73">
        <v>0</v>
      </c>
      <c r="O73">
        <v>1.8</v>
      </c>
      <c r="P73">
        <v>6.75</v>
      </c>
      <c r="Q73">
        <v>7</v>
      </c>
      <c r="R73">
        <v>0.8</v>
      </c>
      <c r="S73">
        <v>122.2</v>
      </c>
      <c r="T73" t="s">
        <v>156</v>
      </c>
    </row>
    <row r="74" spans="1:20" x14ac:dyDescent="0.25">
      <c r="A74">
        <v>93</v>
      </c>
      <c r="B74" t="s">
        <v>157</v>
      </c>
      <c r="C74">
        <v>4</v>
      </c>
      <c r="D74">
        <v>1952</v>
      </c>
      <c r="E74">
        <v>1955</v>
      </c>
      <c r="F74">
        <v>27</v>
      </c>
      <c r="G74">
        <v>3</v>
      </c>
      <c r="H74">
        <v>13</v>
      </c>
      <c r="I74">
        <v>23.1</v>
      </c>
      <c r="J74">
        <v>64</v>
      </c>
      <c r="K74">
        <v>1</v>
      </c>
      <c r="L74">
        <v>7.7</v>
      </c>
      <c r="M74">
        <v>2</v>
      </c>
      <c r="N74">
        <v>15.4</v>
      </c>
      <c r="O74">
        <v>4.9000000000000004</v>
      </c>
      <c r="P74">
        <v>-0.46</v>
      </c>
      <c r="Q74">
        <v>21.3</v>
      </c>
      <c r="R74">
        <v>2.4</v>
      </c>
      <c r="S74">
        <v>59</v>
      </c>
      <c r="T74" t="s">
        <v>158</v>
      </c>
    </row>
    <row r="75" spans="1:20" x14ac:dyDescent="0.25">
      <c r="A75">
        <v>99</v>
      </c>
      <c r="B75" t="s">
        <v>159</v>
      </c>
      <c r="C75">
        <v>2</v>
      </c>
      <c r="D75">
        <v>1957</v>
      </c>
      <c r="E75">
        <v>1958</v>
      </c>
      <c r="F75">
        <v>9</v>
      </c>
      <c r="G75">
        <v>2</v>
      </c>
      <c r="H75">
        <v>3</v>
      </c>
      <c r="I75">
        <v>66.7</v>
      </c>
      <c r="J75">
        <v>52</v>
      </c>
      <c r="K75">
        <v>1</v>
      </c>
      <c r="L75">
        <v>33.299999999999997</v>
      </c>
      <c r="M75">
        <v>0</v>
      </c>
      <c r="N75">
        <v>0</v>
      </c>
      <c r="O75">
        <v>17.3</v>
      </c>
      <c r="P75">
        <v>24</v>
      </c>
      <c r="Q75">
        <v>26</v>
      </c>
      <c r="R75">
        <v>5.8</v>
      </c>
      <c r="S75">
        <v>322.3</v>
      </c>
      <c r="T75" t="s">
        <v>160</v>
      </c>
    </row>
    <row r="76" spans="1:20" x14ac:dyDescent="0.25">
      <c r="A76">
        <v>56</v>
      </c>
      <c r="B76" t="s">
        <v>161</v>
      </c>
      <c r="C76">
        <v>3</v>
      </c>
      <c r="D76">
        <v>1960</v>
      </c>
      <c r="E76">
        <v>1962</v>
      </c>
      <c r="F76">
        <v>27</v>
      </c>
      <c r="G76">
        <v>33</v>
      </c>
      <c r="H76">
        <v>60</v>
      </c>
      <c r="I76">
        <v>55</v>
      </c>
      <c r="J76">
        <v>325</v>
      </c>
      <c r="K76">
        <v>1</v>
      </c>
      <c r="L76">
        <v>1.7</v>
      </c>
      <c r="M76">
        <v>2</v>
      </c>
      <c r="N76">
        <v>3.3</v>
      </c>
      <c r="O76">
        <v>5.4</v>
      </c>
      <c r="P76">
        <v>4.25</v>
      </c>
      <c r="Q76">
        <v>9.8000000000000007</v>
      </c>
      <c r="R76">
        <v>12</v>
      </c>
      <c r="S76">
        <v>99.3</v>
      </c>
      <c r="T76" t="s">
        <v>162</v>
      </c>
    </row>
    <row r="77" spans="1:20" x14ac:dyDescent="0.25">
      <c r="A77">
        <v>143</v>
      </c>
      <c r="B77" t="s">
        <v>163</v>
      </c>
      <c r="C77">
        <v>2</v>
      </c>
      <c r="D77">
        <v>1967</v>
      </c>
      <c r="E77">
        <v>1968</v>
      </c>
      <c r="F77">
        <v>19</v>
      </c>
      <c r="G77">
        <v>1</v>
      </c>
      <c r="H77">
        <v>3</v>
      </c>
      <c r="I77">
        <v>33.299999999999997</v>
      </c>
      <c r="J77">
        <v>7</v>
      </c>
      <c r="K77">
        <v>1</v>
      </c>
      <c r="L77">
        <v>33.299999999999997</v>
      </c>
      <c r="M77">
        <v>0</v>
      </c>
      <c r="N77">
        <v>0</v>
      </c>
      <c r="O77">
        <v>2.2999999999999998</v>
      </c>
      <c r="P77">
        <v>9</v>
      </c>
      <c r="Q77">
        <v>7</v>
      </c>
      <c r="R77">
        <v>0.4</v>
      </c>
      <c r="S77">
        <v>162.9</v>
      </c>
      <c r="T77" t="s">
        <v>164</v>
      </c>
    </row>
    <row r="78" spans="1:20" x14ac:dyDescent="0.25">
      <c r="A78">
        <v>52</v>
      </c>
      <c r="B78" t="s">
        <v>165</v>
      </c>
      <c r="C78">
        <v>3</v>
      </c>
      <c r="D78">
        <v>1974</v>
      </c>
      <c r="E78">
        <v>1976</v>
      </c>
      <c r="F78">
        <v>22</v>
      </c>
      <c r="G78">
        <v>29</v>
      </c>
      <c r="H78">
        <v>55</v>
      </c>
      <c r="I78">
        <v>52.7</v>
      </c>
      <c r="J78">
        <v>425</v>
      </c>
      <c r="K78">
        <v>1</v>
      </c>
      <c r="L78">
        <v>1.8</v>
      </c>
      <c r="M78">
        <v>3</v>
      </c>
      <c r="N78">
        <v>5.5</v>
      </c>
      <c r="O78">
        <v>7.7</v>
      </c>
      <c r="P78">
        <v>5.64</v>
      </c>
      <c r="Q78">
        <v>14.7</v>
      </c>
      <c r="R78">
        <v>19.3</v>
      </c>
      <c r="S78">
        <v>112.7</v>
      </c>
      <c r="T78" t="s">
        <v>166</v>
      </c>
    </row>
    <row r="79" spans="1:20" x14ac:dyDescent="0.25">
      <c r="A79">
        <v>63</v>
      </c>
      <c r="B79" t="s">
        <v>167</v>
      </c>
      <c r="C79">
        <v>4</v>
      </c>
      <c r="D79">
        <v>1978</v>
      </c>
      <c r="E79">
        <v>1981</v>
      </c>
      <c r="F79">
        <v>33</v>
      </c>
      <c r="G79">
        <v>20</v>
      </c>
      <c r="H79">
        <v>41</v>
      </c>
      <c r="I79">
        <v>48.8</v>
      </c>
      <c r="J79">
        <v>264</v>
      </c>
      <c r="K79">
        <v>1</v>
      </c>
      <c r="L79">
        <v>2.4</v>
      </c>
      <c r="M79">
        <v>3</v>
      </c>
      <c r="N79">
        <v>7.3</v>
      </c>
      <c r="O79">
        <v>6.4</v>
      </c>
      <c r="P79">
        <v>3.63</v>
      </c>
      <c r="Q79">
        <v>13.2</v>
      </c>
      <c r="R79">
        <v>8</v>
      </c>
      <c r="S79">
        <v>96.3</v>
      </c>
      <c r="T79" t="s">
        <v>168</v>
      </c>
    </row>
    <row r="80" spans="1:20" x14ac:dyDescent="0.25">
      <c r="A80">
        <v>107</v>
      </c>
      <c r="B80" t="s">
        <v>169</v>
      </c>
      <c r="C80">
        <v>4</v>
      </c>
      <c r="D80">
        <v>1982</v>
      </c>
      <c r="E80">
        <v>1985</v>
      </c>
      <c r="F80">
        <v>11</v>
      </c>
      <c r="G80">
        <v>1</v>
      </c>
      <c r="H80">
        <v>1</v>
      </c>
      <c r="I80">
        <v>100</v>
      </c>
      <c r="J80">
        <v>35</v>
      </c>
      <c r="K80">
        <v>1</v>
      </c>
      <c r="L80">
        <v>100</v>
      </c>
      <c r="M80">
        <v>0</v>
      </c>
      <c r="N80">
        <v>0</v>
      </c>
      <c r="O80">
        <v>35</v>
      </c>
      <c r="P80">
        <v>55</v>
      </c>
      <c r="Q80">
        <v>35</v>
      </c>
      <c r="R80">
        <v>3.2</v>
      </c>
      <c r="S80">
        <v>724</v>
      </c>
      <c r="T80" t="s">
        <v>170</v>
      </c>
    </row>
    <row r="81" spans="1:20" x14ac:dyDescent="0.25">
      <c r="A81">
        <v>116</v>
      </c>
      <c r="B81" t="s">
        <v>171</v>
      </c>
      <c r="C81">
        <v>3</v>
      </c>
      <c r="D81">
        <v>1984</v>
      </c>
      <c r="E81">
        <v>1986</v>
      </c>
      <c r="F81">
        <v>11</v>
      </c>
      <c r="G81">
        <v>1</v>
      </c>
      <c r="H81">
        <v>2</v>
      </c>
      <c r="I81">
        <v>50</v>
      </c>
      <c r="J81">
        <v>26</v>
      </c>
      <c r="K81">
        <v>1</v>
      </c>
      <c r="L81">
        <v>50</v>
      </c>
      <c r="M81">
        <v>0</v>
      </c>
      <c r="N81">
        <v>0</v>
      </c>
      <c r="O81">
        <v>13</v>
      </c>
      <c r="P81">
        <v>23</v>
      </c>
      <c r="Q81">
        <v>26</v>
      </c>
      <c r="R81">
        <v>2.4</v>
      </c>
      <c r="S81">
        <v>324.2</v>
      </c>
      <c r="T81" t="s">
        <v>172</v>
      </c>
    </row>
    <row r="82" spans="1:20" x14ac:dyDescent="0.25">
      <c r="A82">
        <v>108</v>
      </c>
      <c r="B82" t="s">
        <v>173</v>
      </c>
      <c r="C82">
        <v>4</v>
      </c>
      <c r="D82">
        <v>1985</v>
      </c>
      <c r="E82">
        <v>1988</v>
      </c>
      <c r="F82">
        <v>23</v>
      </c>
      <c r="G82">
        <v>2</v>
      </c>
      <c r="H82">
        <v>4</v>
      </c>
      <c r="I82">
        <v>50</v>
      </c>
      <c r="J82">
        <v>35</v>
      </c>
      <c r="K82">
        <v>1</v>
      </c>
      <c r="L82">
        <v>25</v>
      </c>
      <c r="M82">
        <v>0</v>
      </c>
      <c r="N82">
        <v>0</v>
      </c>
      <c r="O82">
        <v>8.8000000000000007</v>
      </c>
      <c r="P82">
        <v>13.75</v>
      </c>
      <c r="Q82">
        <v>17.5</v>
      </c>
      <c r="R82">
        <v>1.5</v>
      </c>
      <c r="S82">
        <v>206</v>
      </c>
      <c r="T82" t="s">
        <v>174</v>
      </c>
    </row>
    <row r="83" spans="1:20" x14ac:dyDescent="0.25">
      <c r="A83">
        <v>96</v>
      </c>
      <c r="B83" t="s">
        <v>175</v>
      </c>
      <c r="C83">
        <v>3</v>
      </c>
      <c r="D83">
        <v>1988</v>
      </c>
      <c r="E83">
        <v>1990</v>
      </c>
      <c r="F83">
        <v>22</v>
      </c>
      <c r="G83">
        <v>1</v>
      </c>
      <c r="H83">
        <v>2</v>
      </c>
      <c r="I83">
        <v>50</v>
      </c>
      <c r="J83">
        <v>60</v>
      </c>
      <c r="K83">
        <v>1</v>
      </c>
      <c r="L83">
        <v>50</v>
      </c>
      <c r="M83">
        <v>0</v>
      </c>
      <c r="N83">
        <v>0</v>
      </c>
      <c r="O83">
        <v>30</v>
      </c>
      <c r="P83">
        <v>40</v>
      </c>
      <c r="Q83">
        <v>60</v>
      </c>
      <c r="R83">
        <v>2.7</v>
      </c>
      <c r="S83">
        <v>467</v>
      </c>
      <c r="T83" t="s">
        <v>176</v>
      </c>
    </row>
    <row r="84" spans="1:20" x14ac:dyDescent="0.25">
      <c r="A84">
        <v>105</v>
      </c>
      <c r="B84" t="s">
        <v>177</v>
      </c>
      <c r="C84">
        <v>3</v>
      </c>
      <c r="D84">
        <v>2004</v>
      </c>
      <c r="E84">
        <v>2006</v>
      </c>
      <c r="F84">
        <v>13</v>
      </c>
      <c r="G84">
        <v>1</v>
      </c>
      <c r="H84">
        <v>2</v>
      </c>
      <c r="I84">
        <v>50</v>
      </c>
      <c r="J84">
        <v>38</v>
      </c>
      <c r="K84">
        <v>1</v>
      </c>
      <c r="L84">
        <v>50</v>
      </c>
      <c r="M84">
        <v>0</v>
      </c>
      <c r="N84">
        <v>0</v>
      </c>
      <c r="O84">
        <v>19</v>
      </c>
      <c r="P84">
        <v>29</v>
      </c>
      <c r="Q84">
        <v>38</v>
      </c>
      <c r="R84">
        <v>2.9</v>
      </c>
      <c r="S84">
        <v>374.6</v>
      </c>
      <c r="T84" t="s">
        <v>178</v>
      </c>
    </row>
    <row r="85" spans="1:20" x14ac:dyDescent="0.25">
      <c r="A85">
        <v>98</v>
      </c>
      <c r="B85" t="s">
        <v>179</v>
      </c>
      <c r="C85">
        <v>1</v>
      </c>
      <c r="D85">
        <v>2007</v>
      </c>
      <c r="E85">
        <v>2007</v>
      </c>
      <c r="F85">
        <v>4</v>
      </c>
      <c r="G85">
        <v>3</v>
      </c>
      <c r="H85">
        <v>6</v>
      </c>
      <c r="I85">
        <v>50</v>
      </c>
      <c r="J85">
        <v>57</v>
      </c>
      <c r="K85">
        <v>1</v>
      </c>
      <c r="L85">
        <v>16.7</v>
      </c>
      <c r="M85">
        <v>0</v>
      </c>
      <c r="N85">
        <v>0</v>
      </c>
      <c r="O85">
        <v>9.5</v>
      </c>
      <c r="P85">
        <v>12.83</v>
      </c>
      <c r="Q85">
        <v>19</v>
      </c>
      <c r="R85">
        <v>14.3</v>
      </c>
      <c r="S85">
        <v>184.8</v>
      </c>
      <c r="T85" t="s">
        <v>180</v>
      </c>
    </row>
    <row r="86" spans="1:20" x14ac:dyDescent="0.25">
      <c r="A86">
        <v>104</v>
      </c>
      <c r="B86" t="s">
        <v>181</v>
      </c>
      <c r="C86">
        <v>4</v>
      </c>
      <c r="D86">
        <v>2008</v>
      </c>
      <c r="E86">
        <v>2011</v>
      </c>
      <c r="F86">
        <v>13</v>
      </c>
      <c r="G86">
        <v>1</v>
      </c>
      <c r="H86">
        <v>1</v>
      </c>
      <c r="I86">
        <v>100</v>
      </c>
      <c r="J86">
        <v>39</v>
      </c>
      <c r="K86">
        <v>1</v>
      </c>
      <c r="L86">
        <v>100</v>
      </c>
      <c r="M86">
        <v>0</v>
      </c>
      <c r="N86">
        <v>0</v>
      </c>
      <c r="O86">
        <v>39</v>
      </c>
      <c r="P86">
        <v>59</v>
      </c>
      <c r="Q86">
        <v>39</v>
      </c>
      <c r="R86">
        <v>3</v>
      </c>
      <c r="S86">
        <v>757.6</v>
      </c>
      <c r="T86" t="s">
        <v>182</v>
      </c>
    </row>
    <row r="87" spans="1:20" x14ac:dyDescent="0.25">
      <c r="A87">
        <v>123</v>
      </c>
      <c r="B87" t="s">
        <v>183</v>
      </c>
      <c r="C87">
        <v>5</v>
      </c>
      <c r="D87">
        <v>2009</v>
      </c>
      <c r="E87">
        <v>2013</v>
      </c>
      <c r="F87">
        <v>13</v>
      </c>
      <c r="G87">
        <v>1</v>
      </c>
      <c r="H87">
        <v>1</v>
      </c>
      <c r="I87">
        <v>100</v>
      </c>
      <c r="J87">
        <v>20</v>
      </c>
      <c r="K87">
        <v>1</v>
      </c>
      <c r="L87">
        <v>100</v>
      </c>
      <c r="M87">
        <v>0</v>
      </c>
      <c r="N87">
        <v>0</v>
      </c>
      <c r="O87">
        <v>20</v>
      </c>
      <c r="P87">
        <v>40</v>
      </c>
      <c r="Q87">
        <v>20</v>
      </c>
      <c r="R87">
        <v>1.5</v>
      </c>
      <c r="S87">
        <v>598</v>
      </c>
      <c r="T87" t="s">
        <v>184</v>
      </c>
    </row>
    <row r="88" spans="1:20" x14ac:dyDescent="0.25">
      <c r="A88">
        <v>131</v>
      </c>
      <c r="B88" t="s">
        <v>185</v>
      </c>
      <c r="C88">
        <v>4</v>
      </c>
      <c r="D88">
        <v>2011</v>
      </c>
      <c r="E88">
        <v>2014</v>
      </c>
      <c r="F88">
        <v>15</v>
      </c>
      <c r="G88">
        <v>1</v>
      </c>
      <c r="H88">
        <v>1</v>
      </c>
      <c r="I88">
        <v>100</v>
      </c>
      <c r="J88">
        <v>13</v>
      </c>
      <c r="K88">
        <v>1</v>
      </c>
      <c r="L88">
        <v>100</v>
      </c>
      <c r="M88">
        <v>0</v>
      </c>
      <c r="N88">
        <v>0</v>
      </c>
      <c r="O88">
        <v>13</v>
      </c>
      <c r="P88">
        <v>33</v>
      </c>
      <c r="Q88">
        <v>13</v>
      </c>
      <c r="R88">
        <v>0.9</v>
      </c>
      <c r="S88">
        <v>539.20000000000005</v>
      </c>
      <c r="T88" t="s">
        <v>186</v>
      </c>
    </row>
    <row r="89" spans="1:20" x14ac:dyDescent="0.25">
      <c r="A89">
        <v>61</v>
      </c>
      <c r="B89" t="s">
        <v>187</v>
      </c>
      <c r="C89">
        <v>2</v>
      </c>
      <c r="D89">
        <v>2017</v>
      </c>
      <c r="E89">
        <v>2018</v>
      </c>
      <c r="F89">
        <v>6</v>
      </c>
      <c r="G89">
        <v>23</v>
      </c>
      <c r="H89">
        <v>28</v>
      </c>
      <c r="I89">
        <v>82.1</v>
      </c>
      <c r="J89">
        <v>269</v>
      </c>
      <c r="K89">
        <v>1</v>
      </c>
      <c r="L89">
        <v>3.6</v>
      </c>
      <c r="M89">
        <v>0</v>
      </c>
      <c r="N89">
        <v>0</v>
      </c>
      <c r="O89">
        <v>9.6</v>
      </c>
      <c r="P89">
        <v>10.32</v>
      </c>
      <c r="Q89">
        <v>11.7</v>
      </c>
      <c r="R89">
        <v>44.8</v>
      </c>
      <c r="S89">
        <v>174.6</v>
      </c>
      <c r="T89" t="s">
        <v>188</v>
      </c>
    </row>
    <row r="90" spans="1:20" x14ac:dyDescent="0.25">
      <c r="A90">
        <v>79</v>
      </c>
      <c r="B90" t="s">
        <v>189</v>
      </c>
      <c r="C90">
        <v>2</v>
      </c>
      <c r="D90">
        <v>2019</v>
      </c>
      <c r="E90">
        <v>2020</v>
      </c>
      <c r="F90">
        <v>4</v>
      </c>
      <c r="G90">
        <v>6</v>
      </c>
      <c r="H90">
        <v>6</v>
      </c>
      <c r="I90">
        <v>100</v>
      </c>
      <c r="J90">
        <v>104</v>
      </c>
      <c r="K90">
        <v>1</v>
      </c>
      <c r="L90">
        <v>16.7</v>
      </c>
      <c r="M90">
        <v>0</v>
      </c>
      <c r="N90">
        <v>0</v>
      </c>
      <c r="O90">
        <v>17.3</v>
      </c>
      <c r="P90">
        <v>20.67</v>
      </c>
      <c r="Q90">
        <v>17.3</v>
      </c>
      <c r="R90">
        <v>26</v>
      </c>
      <c r="S90">
        <v>300.60000000000002</v>
      </c>
      <c r="T90" t="s">
        <v>190</v>
      </c>
    </row>
    <row r="91" spans="1:20" x14ac:dyDescent="0.25">
      <c r="A91">
        <v>87</v>
      </c>
      <c r="B91" t="s">
        <v>191</v>
      </c>
      <c r="C91">
        <v>1</v>
      </c>
      <c r="D91">
        <v>2024</v>
      </c>
      <c r="E91">
        <v>2024</v>
      </c>
      <c r="F91">
        <v>4</v>
      </c>
      <c r="G91">
        <v>5</v>
      </c>
      <c r="H91">
        <v>12</v>
      </c>
      <c r="I91">
        <v>41.7</v>
      </c>
      <c r="J91">
        <v>84</v>
      </c>
      <c r="K91">
        <v>1</v>
      </c>
      <c r="L91">
        <v>8.3000000000000007</v>
      </c>
      <c r="M91">
        <v>0</v>
      </c>
      <c r="N91">
        <v>0</v>
      </c>
      <c r="O91">
        <v>7</v>
      </c>
      <c r="P91">
        <v>8.67</v>
      </c>
      <c r="Q91">
        <v>16.8</v>
      </c>
      <c r="R91">
        <v>21</v>
      </c>
      <c r="S91">
        <v>128</v>
      </c>
      <c r="T91" t="s">
        <v>192</v>
      </c>
    </row>
    <row r="92" spans="1:20" x14ac:dyDescent="0.25">
      <c r="A92">
        <v>111</v>
      </c>
      <c r="B92" t="s">
        <v>193</v>
      </c>
      <c r="C92">
        <v>2</v>
      </c>
      <c r="D92">
        <v>1942</v>
      </c>
      <c r="E92">
        <v>1946</v>
      </c>
      <c r="F92">
        <v>9</v>
      </c>
      <c r="G92">
        <v>3</v>
      </c>
      <c r="H92">
        <v>7</v>
      </c>
      <c r="I92">
        <v>42.9</v>
      </c>
      <c r="J92">
        <v>33</v>
      </c>
      <c r="K92">
        <v>0</v>
      </c>
      <c r="L92">
        <v>0</v>
      </c>
      <c r="M92">
        <v>0</v>
      </c>
      <c r="N92">
        <v>0</v>
      </c>
      <c r="O92">
        <v>4.7</v>
      </c>
      <c r="P92">
        <v>4.71</v>
      </c>
      <c r="Q92">
        <v>11</v>
      </c>
      <c r="R92">
        <v>3.7</v>
      </c>
      <c r="S92">
        <v>82.5</v>
      </c>
      <c r="T92" t="s">
        <v>194</v>
      </c>
    </row>
    <row r="93" spans="1:20" x14ac:dyDescent="0.25">
      <c r="A93">
        <v>119</v>
      </c>
      <c r="B93" t="s">
        <v>195</v>
      </c>
      <c r="C93">
        <v>1</v>
      </c>
      <c r="D93">
        <v>1942</v>
      </c>
      <c r="E93">
        <v>1942</v>
      </c>
      <c r="F93">
        <v>7</v>
      </c>
      <c r="G93">
        <v>1</v>
      </c>
      <c r="H93">
        <v>4</v>
      </c>
      <c r="I93">
        <v>25</v>
      </c>
      <c r="J93">
        <v>21</v>
      </c>
      <c r="K93">
        <v>0</v>
      </c>
      <c r="L93">
        <v>0</v>
      </c>
      <c r="M93">
        <v>1</v>
      </c>
      <c r="N93">
        <v>25</v>
      </c>
      <c r="O93">
        <v>5.3</v>
      </c>
      <c r="P93">
        <v>-6</v>
      </c>
      <c r="Q93">
        <v>21</v>
      </c>
      <c r="R93">
        <v>3</v>
      </c>
      <c r="S93">
        <v>19.100000000000001</v>
      </c>
      <c r="T93" t="s">
        <v>196</v>
      </c>
    </row>
    <row r="94" spans="1:20" x14ac:dyDescent="0.25">
      <c r="A94">
        <v>135</v>
      </c>
      <c r="B94" t="s">
        <v>197</v>
      </c>
      <c r="C94">
        <v>1</v>
      </c>
      <c r="D94">
        <v>1942</v>
      </c>
      <c r="E94">
        <v>1942</v>
      </c>
      <c r="F94">
        <v>10</v>
      </c>
      <c r="G94">
        <v>1</v>
      </c>
      <c r="H94">
        <v>2</v>
      </c>
      <c r="I94">
        <v>50</v>
      </c>
      <c r="J94">
        <v>10</v>
      </c>
      <c r="K94">
        <v>0</v>
      </c>
      <c r="L94">
        <v>0</v>
      </c>
      <c r="M94">
        <v>0</v>
      </c>
      <c r="N94">
        <v>0</v>
      </c>
      <c r="O94">
        <v>5</v>
      </c>
      <c r="P94">
        <v>5</v>
      </c>
      <c r="Q94">
        <v>10</v>
      </c>
      <c r="R94">
        <v>1</v>
      </c>
      <c r="S94">
        <v>92</v>
      </c>
      <c r="T94" t="s">
        <v>198</v>
      </c>
    </row>
    <row r="95" spans="1:20" x14ac:dyDescent="0.25">
      <c r="A95">
        <v>136</v>
      </c>
      <c r="B95" t="s">
        <v>199</v>
      </c>
      <c r="C95">
        <v>1</v>
      </c>
      <c r="D95">
        <v>1942</v>
      </c>
      <c r="E95">
        <v>1942</v>
      </c>
      <c r="F95">
        <v>1</v>
      </c>
      <c r="G95">
        <v>1</v>
      </c>
      <c r="H95">
        <v>3</v>
      </c>
      <c r="I95">
        <v>33.299999999999997</v>
      </c>
      <c r="J95">
        <v>10</v>
      </c>
      <c r="K95">
        <v>0</v>
      </c>
      <c r="L95">
        <v>0</v>
      </c>
      <c r="M95">
        <v>0</v>
      </c>
      <c r="N95">
        <v>0</v>
      </c>
      <c r="O95">
        <v>3.3</v>
      </c>
      <c r="P95">
        <v>3.33</v>
      </c>
      <c r="Q95">
        <v>10</v>
      </c>
      <c r="R95">
        <v>10</v>
      </c>
      <c r="S95">
        <v>61.3</v>
      </c>
      <c r="T95" t="s">
        <v>200</v>
      </c>
    </row>
    <row r="96" spans="1:20" x14ac:dyDescent="0.25">
      <c r="A96">
        <v>138</v>
      </c>
      <c r="B96" t="s">
        <v>201</v>
      </c>
      <c r="C96">
        <v>1</v>
      </c>
      <c r="D96">
        <v>1942</v>
      </c>
      <c r="E96">
        <v>1942</v>
      </c>
      <c r="F96">
        <v>2</v>
      </c>
      <c r="G96">
        <v>1</v>
      </c>
      <c r="H96">
        <v>3</v>
      </c>
      <c r="I96">
        <v>33.299999999999997</v>
      </c>
      <c r="J96">
        <v>9</v>
      </c>
      <c r="K96">
        <v>0</v>
      </c>
      <c r="L96">
        <v>0</v>
      </c>
      <c r="M96">
        <v>0</v>
      </c>
      <c r="N96">
        <v>0</v>
      </c>
      <c r="O96">
        <v>3</v>
      </c>
      <c r="P96">
        <v>3</v>
      </c>
      <c r="Q96">
        <v>9</v>
      </c>
      <c r="R96">
        <v>4.5</v>
      </c>
      <c r="S96">
        <v>58.5</v>
      </c>
      <c r="T96" t="s">
        <v>202</v>
      </c>
    </row>
    <row r="97" spans="1:20" x14ac:dyDescent="0.25">
      <c r="A97">
        <v>146</v>
      </c>
      <c r="B97" t="s">
        <v>203</v>
      </c>
      <c r="C97">
        <v>1</v>
      </c>
      <c r="D97">
        <v>1942</v>
      </c>
      <c r="E97">
        <v>1942</v>
      </c>
      <c r="F97">
        <v>3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R97">
        <v>0</v>
      </c>
      <c r="S97">
        <v>0</v>
      </c>
      <c r="T97" t="s">
        <v>204</v>
      </c>
    </row>
    <row r="98" spans="1:20" x14ac:dyDescent="0.25">
      <c r="A98">
        <v>89</v>
      </c>
      <c r="B98" t="s">
        <v>205</v>
      </c>
      <c r="C98">
        <v>3</v>
      </c>
      <c r="D98">
        <v>1944</v>
      </c>
      <c r="E98">
        <v>1947</v>
      </c>
      <c r="F98">
        <v>18</v>
      </c>
      <c r="G98">
        <v>2</v>
      </c>
      <c r="H98">
        <v>7</v>
      </c>
      <c r="I98">
        <v>28.6</v>
      </c>
      <c r="J98">
        <v>71</v>
      </c>
      <c r="K98">
        <v>0</v>
      </c>
      <c r="L98">
        <v>0</v>
      </c>
      <c r="M98">
        <v>0</v>
      </c>
      <c r="N98">
        <v>0</v>
      </c>
      <c r="O98">
        <v>10.1</v>
      </c>
      <c r="P98">
        <v>10.14</v>
      </c>
      <c r="Q98">
        <v>35.5</v>
      </c>
      <c r="R98">
        <v>3.9</v>
      </c>
      <c r="S98">
        <v>113.8</v>
      </c>
      <c r="T98" t="s">
        <v>206</v>
      </c>
    </row>
    <row r="99" spans="1:20" x14ac:dyDescent="0.25">
      <c r="A99">
        <v>127</v>
      </c>
      <c r="B99" t="s">
        <v>207</v>
      </c>
      <c r="C99">
        <v>2</v>
      </c>
      <c r="D99">
        <v>1944</v>
      </c>
      <c r="E99">
        <v>1947</v>
      </c>
      <c r="F99">
        <v>9</v>
      </c>
      <c r="G99">
        <v>1</v>
      </c>
      <c r="H99">
        <v>4</v>
      </c>
      <c r="I99">
        <v>25</v>
      </c>
      <c r="J99">
        <v>15</v>
      </c>
      <c r="K99">
        <v>0</v>
      </c>
      <c r="L99">
        <v>0</v>
      </c>
      <c r="M99">
        <v>0</v>
      </c>
      <c r="N99">
        <v>0</v>
      </c>
      <c r="O99">
        <v>3.8</v>
      </c>
      <c r="P99">
        <v>3.75</v>
      </c>
      <c r="Q99">
        <v>15</v>
      </c>
      <c r="R99">
        <v>1.7</v>
      </c>
      <c r="S99">
        <v>56.5</v>
      </c>
      <c r="T99" t="s">
        <v>208</v>
      </c>
    </row>
    <row r="100" spans="1:20" x14ac:dyDescent="0.25">
      <c r="A100">
        <v>147</v>
      </c>
      <c r="B100" t="s">
        <v>209</v>
      </c>
      <c r="C100">
        <v>1</v>
      </c>
      <c r="D100">
        <v>1944</v>
      </c>
      <c r="E100">
        <v>1944</v>
      </c>
      <c r="F100">
        <v>9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R100">
        <v>0</v>
      </c>
      <c r="S100">
        <v>0</v>
      </c>
      <c r="T100" t="s">
        <v>210</v>
      </c>
    </row>
    <row r="101" spans="1:20" x14ac:dyDescent="0.25">
      <c r="A101">
        <v>148</v>
      </c>
      <c r="B101" t="s">
        <v>211</v>
      </c>
      <c r="C101">
        <v>1</v>
      </c>
      <c r="D101">
        <v>1944</v>
      </c>
      <c r="E101">
        <v>1944</v>
      </c>
      <c r="F101">
        <v>9</v>
      </c>
      <c r="G101">
        <v>0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R101">
        <v>0</v>
      </c>
      <c r="S101">
        <v>0</v>
      </c>
      <c r="T101" t="s">
        <v>212</v>
      </c>
    </row>
    <row r="102" spans="1:20" x14ac:dyDescent="0.25">
      <c r="A102">
        <v>149</v>
      </c>
      <c r="B102" t="s">
        <v>213</v>
      </c>
      <c r="C102">
        <v>1</v>
      </c>
      <c r="D102">
        <v>1944</v>
      </c>
      <c r="E102">
        <v>1944</v>
      </c>
      <c r="F102">
        <v>9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R102">
        <v>0</v>
      </c>
      <c r="S102">
        <v>0</v>
      </c>
      <c r="T102" t="s">
        <v>214</v>
      </c>
    </row>
    <row r="103" spans="1:20" x14ac:dyDescent="0.25">
      <c r="A103">
        <v>48</v>
      </c>
      <c r="B103" t="s">
        <v>215</v>
      </c>
      <c r="C103">
        <v>3</v>
      </c>
      <c r="D103">
        <v>1946</v>
      </c>
      <c r="E103">
        <v>1948</v>
      </c>
      <c r="F103">
        <v>19</v>
      </c>
      <c r="G103">
        <v>31</v>
      </c>
      <c r="H103">
        <v>107</v>
      </c>
      <c r="I103">
        <v>29</v>
      </c>
      <c r="J103">
        <v>435</v>
      </c>
      <c r="K103">
        <v>0</v>
      </c>
      <c r="L103">
        <v>0</v>
      </c>
      <c r="M103">
        <v>16</v>
      </c>
      <c r="N103">
        <v>15</v>
      </c>
      <c r="O103">
        <v>4.0999999999999996</v>
      </c>
      <c r="P103">
        <v>-2.66</v>
      </c>
      <c r="Q103">
        <v>14</v>
      </c>
      <c r="R103">
        <v>22.9</v>
      </c>
      <c r="S103">
        <v>33.200000000000003</v>
      </c>
      <c r="T103" t="s">
        <v>216</v>
      </c>
    </row>
    <row r="104" spans="1:20" x14ac:dyDescent="0.25">
      <c r="A104">
        <v>53</v>
      </c>
      <c r="B104" t="s">
        <v>217</v>
      </c>
      <c r="C104">
        <v>1</v>
      </c>
      <c r="D104">
        <v>1946</v>
      </c>
      <c r="E104">
        <v>1946</v>
      </c>
      <c r="F104">
        <v>8</v>
      </c>
      <c r="G104">
        <v>25</v>
      </c>
      <c r="H104">
        <v>51</v>
      </c>
      <c r="I104">
        <v>49</v>
      </c>
      <c r="J104">
        <v>398</v>
      </c>
      <c r="K104">
        <v>0</v>
      </c>
      <c r="L104">
        <v>0</v>
      </c>
      <c r="M104">
        <v>4</v>
      </c>
      <c r="N104">
        <v>7.8</v>
      </c>
      <c r="O104">
        <v>7.8</v>
      </c>
      <c r="P104">
        <v>4.2699999999999996</v>
      </c>
      <c r="Q104">
        <v>15.9</v>
      </c>
      <c r="R104">
        <v>49.8</v>
      </c>
      <c r="S104">
        <v>98.9</v>
      </c>
      <c r="T104" t="s">
        <v>218</v>
      </c>
    </row>
    <row r="105" spans="1:20" x14ac:dyDescent="0.25">
      <c r="A105">
        <v>86</v>
      </c>
      <c r="B105" t="s">
        <v>219</v>
      </c>
      <c r="C105">
        <v>2</v>
      </c>
      <c r="D105">
        <v>1946</v>
      </c>
      <c r="E105">
        <v>1947</v>
      </c>
      <c r="F105">
        <v>10</v>
      </c>
      <c r="G105">
        <v>2</v>
      </c>
      <c r="H105">
        <v>8</v>
      </c>
      <c r="I105">
        <v>25</v>
      </c>
      <c r="J105">
        <v>87</v>
      </c>
      <c r="K105">
        <v>0</v>
      </c>
      <c r="L105">
        <v>0</v>
      </c>
      <c r="M105">
        <v>1</v>
      </c>
      <c r="N105">
        <v>12.5</v>
      </c>
      <c r="O105">
        <v>10.9</v>
      </c>
      <c r="P105">
        <v>5.25</v>
      </c>
      <c r="Q105">
        <v>43.5</v>
      </c>
      <c r="R105">
        <v>8.6999999999999993</v>
      </c>
      <c r="S105">
        <v>91.4</v>
      </c>
      <c r="T105" t="s">
        <v>220</v>
      </c>
    </row>
    <row r="106" spans="1:20" x14ac:dyDescent="0.25">
      <c r="A106">
        <v>102</v>
      </c>
      <c r="B106" t="s">
        <v>221</v>
      </c>
      <c r="C106">
        <v>3</v>
      </c>
      <c r="D106">
        <v>1946</v>
      </c>
      <c r="E106">
        <v>1948</v>
      </c>
      <c r="F106">
        <v>8</v>
      </c>
      <c r="G106">
        <v>4</v>
      </c>
      <c r="H106">
        <v>11</v>
      </c>
      <c r="I106">
        <v>36.4</v>
      </c>
      <c r="J106">
        <v>40</v>
      </c>
      <c r="K106">
        <v>0</v>
      </c>
      <c r="L106">
        <v>0</v>
      </c>
      <c r="M106">
        <v>0</v>
      </c>
      <c r="N106">
        <v>0</v>
      </c>
      <c r="O106">
        <v>3.6</v>
      </c>
      <c r="P106">
        <v>3.64</v>
      </c>
      <c r="Q106">
        <v>10</v>
      </c>
      <c r="R106">
        <v>5</v>
      </c>
      <c r="S106">
        <v>66.900000000000006</v>
      </c>
      <c r="T106" t="s">
        <v>222</v>
      </c>
    </row>
    <row r="107" spans="1:20" x14ac:dyDescent="0.25">
      <c r="A107">
        <v>112</v>
      </c>
      <c r="B107" t="s">
        <v>223</v>
      </c>
      <c r="C107">
        <v>1</v>
      </c>
      <c r="D107">
        <v>1946</v>
      </c>
      <c r="E107">
        <v>1946</v>
      </c>
      <c r="F107">
        <v>5</v>
      </c>
      <c r="G107">
        <v>3</v>
      </c>
      <c r="H107">
        <v>21</v>
      </c>
      <c r="I107">
        <v>14.3</v>
      </c>
      <c r="J107">
        <v>31</v>
      </c>
      <c r="K107">
        <v>0</v>
      </c>
      <c r="L107">
        <v>0</v>
      </c>
      <c r="M107">
        <v>3</v>
      </c>
      <c r="N107">
        <v>14.3</v>
      </c>
      <c r="O107">
        <v>1.5</v>
      </c>
      <c r="P107">
        <v>-4.95</v>
      </c>
      <c r="Q107">
        <v>10.3</v>
      </c>
      <c r="R107">
        <v>6.2</v>
      </c>
      <c r="S107">
        <v>-1.9</v>
      </c>
      <c r="T107" t="s">
        <v>224</v>
      </c>
    </row>
    <row r="108" spans="1:20" x14ac:dyDescent="0.25">
      <c r="A108">
        <v>128</v>
      </c>
      <c r="B108" t="s">
        <v>225</v>
      </c>
      <c r="C108">
        <v>3</v>
      </c>
      <c r="D108">
        <v>1946</v>
      </c>
      <c r="E108">
        <v>1948</v>
      </c>
      <c r="F108">
        <v>13</v>
      </c>
      <c r="G108">
        <v>1</v>
      </c>
      <c r="H108">
        <v>3</v>
      </c>
      <c r="I108">
        <v>33.299999999999997</v>
      </c>
      <c r="J108">
        <v>15</v>
      </c>
      <c r="K108">
        <v>0</v>
      </c>
      <c r="L108">
        <v>0</v>
      </c>
      <c r="M108">
        <v>1</v>
      </c>
      <c r="N108">
        <v>33.299999999999997</v>
      </c>
      <c r="O108">
        <v>5</v>
      </c>
      <c r="P108">
        <v>-10</v>
      </c>
      <c r="Q108">
        <v>15</v>
      </c>
      <c r="R108">
        <v>1.2</v>
      </c>
      <c r="S108">
        <v>8.6999999999999993</v>
      </c>
      <c r="T108" t="s">
        <v>226</v>
      </c>
    </row>
    <row r="109" spans="1:20" x14ac:dyDescent="0.25">
      <c r="A109">
        <v>132</v>
      </c>
      <c r="B109" t="s">
        <v>227</v>
      </c>
      <c r="C109">
        <v>3</v>
      </c>
      <c r="D109">
        <v>1946</v>
      </c>
      <c r="E109">
        <v>1948</v>
      </c>
      <c r="F109">
        <v>8</v>
      </c>
      <c r="G109">
        <v>1</v>
      </c>
      <c r="H109">
        <v>2</v>
      </c>
      <c r="I109">
        <v>50</v>
      </c>
      <c r="J109">
        <v>12</v>
      </c>
      <c r="K109">
        <v>0</v>
      </c>
      <c r="L109">
        <v>0</v>
      </c>
      <c r="M109">
        <v>1</v>
      </c>
      <c r="N109">
        <v>50</v>
      </c>
      <c r="O109">
        <v>6</v>
      </c>
      <c r="P109">
        <v>-16.5</v>
      </c>
      <c r="Q109">
        <v>12</v>
      </c>
      <c r="R109">
        <v>1.5</v>
      </c>
      <c r="S109">
        <v>0.4</v>
      </c>
      <c r="T109" t="s">
        <v>228</v>
      </c>
    </row>
    <row r="110" spans="1:20" x14ac:dyDescent="0.25">
      <c r="A110">
        <v>67</v>
      </c>
      <c r="B110" t="s">
        <v>229</v>
      </c>
      <c r="C110">
        <v>3</v>
      </c>
      <c r="D110">
        <v>1947</v>
      </c>
      <c r="E110">
        <v>1949</v>
      </c>
      <c r="F110">
        <v>27</v>
      </c>
      <c r="G110">
        <v>13</v>
      </c>
      <c r="H110">
        <v>38</v>
      </c>
      <c r="I110">
        <v>34.200000000000003</v>
      </c>
      <c r="J110">
        <v>205</v>
      </c>
      <c r="K110">
        <v>0</v>
      </c>
      <c r="L110">
        <v>0</v>
      </c>
      <c r="M110">
        <v>4</v>
      </c>
      <c r="N110">
        <v>10.5</v>
      </c>
      <c r="O110">
        <v>5.4</v>
      </c>
      <c r="P110">
        <v>0.66</v>
      </c>
      <c r="Q110">
        <v>15.8</v>
      </c>
      <c r="R110">
        <v>7.6</v>
      </c>
      <c r="S110">
        <v>58.5</v>
      </c>
      <c r="T110" t="s">
        <v>230</v>
      </c>
    </row>
    <row r="111" spans="1:20" x14ac:dyDescent="0.25">
      <c r="A111">
        <v>129</v>
      </c>
      <c r="B111" t="s">
        <v>231</v>
      </c>
      <c r="C111">
        <v>2</v>
      </c>
      <c r="D111">
        <v>1948</v>
      </c>
      <c r="E111">
        <v>1950</v>
      </c>
      <c r="F111">
        <v>4</v>
      </c>
      <c r="G111">
        <v>1</v>
      </c>
      <c r="H111">
        <v>2</v>
      </c>
      <c r="I111">
        <v>50</v>
      </c>
      <c r="J111">
        <v>15</v>
      </c>
      <c r="K111">
        <v>0</v>
      </c>
      <c r="L111">
        <v>0</v>
      </c>
      <c r="M111">
        <v>0</v>
      </c>
      <c r="N111">
        <v>0</v>
      </c>
      <c r="O111">
        <v>7.5</v>
      </c>
      <c r="P111">
        <v>7.5</v>
      </c>
      <c r="Q111">
        <v>15</v>
      </c>
      <c r="R111">
        <v>3.8</v>
      </c>
      <c r="S111">
        <v>113</v>
      </c>
      <c r="T111" t="s">
        <v>232</v>
      </c>
    </row>
    <row r="112" spans="1:20" x14ac:dyDescent="0.25">
      <c r="A112">
        <v>137</v>
      </c>
      <c r="B112" t="s">
        <v>233</v>
      </c>
      <c r="C112">
        <v>2</v>
      </c>
      <c r="D112">
        <v>1948</v>
      </c>
      <c r="E112">
        <v>1950</v>
      </c>
      <c r="F112">
        <v>17</v>
      </c>
      <c r="G112">
        <v>1</v>
      </c>
      <c r="H112">
        <v>2</v>
      </c>
      <c r="I112">
        <v>50</v>
      </c>
      <c r="J112">
        <v>10</v>
      </c>
      <c r="K112">
        <v>0</v>
      </c>
      <c r="L112">
        <v>0</v>
      </c>
      <c r="M112">
        <v>0</v>
      </c>
      <c r="N112">
        <v>0</v>
      </c>
      <c r="O112">
        <v>5</v>
      </c>
      <c r="P112">
        <v>5</v>
      </c>
      <c r="Q112">
        <v>10</v>
      </c>
      <c r="R112">
        <v>0.6</v>
      </c>
      <c r="S112">
        <v>92</v>
      </c>
      <c r="T112" t="s">
        <v>234</v>
      </c>
    </row>
    <row r="113" spans="1:20" x14ac:dyDescent="0.25">
      <c r="A113">
        <v>150</v>
      </c>
      <c r="B113" t="s">
        <v>235</v>
      </c>
      <c r="C113">
        <v>1</v>
      </c>
      <c r="D113">
        <v>1948</v>
      </c>
      <c r="E113">
        <v>1948</v>
      </c>
      <c r="F113">
        <v>9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R113">
        <v>0</v>
      </c>
      <c r="S113">
        <v>0</v>
      </c>
      <c r="T113" t="s">
        <v>236</v>
      </c>
    </row>
    <row r="114" spans="1:20" x14ac:dyDescent="0.25">
      <c r="A114">
        <v>109</v>
      </c>
      <c r="B114" t="s">
        <v>237</v>
      </c>
      <c r="C114">
        <v>3</v>
      </c>
      <c r="D114">
        <v>1949</v>
      </c>
      <c r="E114">
        <v>1951</v>
      </c>
      <c r="F114">
        <v>9</v>
      </c>
      <c r="G114">
        <v>3</v>
      </c>
      <c r="H114">
        <v>8</v>
      </c>
      <c r="I114">
        <v>37.5</v>
      </c>
      <c r="J114">
        <v>34</v>
      </c>
      <c r="K114">
        <v>0</v>
      </c>
      <c r="L114">
        <v>0</v>
      </c>
      <c r="M114">
        <v>0</v>
      </c>
      <c r="N114">
        <v>0</v>
      </c>
      <c r="O114">
        <v>4.3</v>
      </c>
      <c r="P114">
        <v>4.25</v>
      </c>
      <c r="Q114">
        <v>11.3</v>
      </c>
      <c r="R114">
        <v>3.8</v>
      </c>
      <c r="S114">
        <v>73.2</v>
      </c>
      <c r="T114" t="s">
        <v>238</v>
      </c>
    </row>
    <row r="115" spans="1:20" x14ac:dyDescent="0.25">
      <c r="A115">
        <v>115</v>
      </c>
      <c r="B115" t="s">
        <v>239</v>
      </c>
      <c r="C115">
        <v>1</v>
      </c>
      <c r="D115">
        <v>1950</v>
      </c>
      <c r="E115">
        <v>1950</v>
      </c>
      <c r="F115">
        <v>9</v>
      </c>
      <c r="G115">
        <v>1</v>
      </c>
      <c r="H115">
        <v>1</v>
      </c>
      <c r="I115">
        <v>100</v>
      </c>
      <c r="J115">
        <v>26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26</v>
      </c>
      <c r="Q115">
        <v>26</v>
      </c>
      <c r="R115">
        <v>2.9</v>
      </c>
      <c r="S115">
        <v>318.39999999999998</v>
      </c>
      <c r="T115" t="s">
        <v>240</v>
      </c>
    </row>
    <row r="116" spans="1:20" x14ac:dyDescent="0.25">
      <c r="A116">
        <v>151</v>
      </c>
      <c r="B116" t="s">
        <v>241</v>
      </c>
      <c r="C116">
        <v>2</v>
      </c>
      <c r="D116">
        <v>1950</v>
      </c>
      <c r="E116">
        <v>1952</v>
      </c>
      <c r="F116">
        <v>9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R116">
        <v>0</v>
      </c>
      <c r="S116">
        <v>0</v>
      </c>
      <c r="T116" t="s">
        <v>242</v>
      </c>
    </row>
    <row r="117" spans="1:20" x14ac:dyDescent="0.25">
      <c r="A117">
        <v>83</v>
      </c>
      <c r="B117" t="s">
        <v>243</v>
      </c>
      <c r="C117">
        <v>2</v>
      </c>
      <c r="D117">
        <v>1951</v>
      </c>
      <c r="E117">
        <v>1952</v>
      </c>
      <c r="F117">
        <v>18</v>
      </c>
      <c r="G117">
        <v>6</v>
      </c>
      <c r="H117">
        <v>11</v>
      </c>
      <c r="I117">
        <v>54.5</v>
      </c>
      <c r="J117">
        <v>97</v>
      </c>
      <c r="K117">
        <v>0</v>
      </c>
      <c r="L117">
        <v>0</v>
      </c>
      <c r="M117">
        <v>2</v>
      </c>
      <c r="N117">
        <v>18.2</v>
      </c>
      <c r="O117">
        <v>8.8000000000000007</v>
      </c>
      <c r="P117">
        <v>0.64</v>
      </c>
      <c r="Q117">
        <v>16.2</v>
      </c>
      <c r="R117">
        <v>5.4</v>
      </c>
      <c r="S117">
        <v>92.3</v>
      </c>
      <c r="T117" t="s">
        <v>244</v>
      </c>
    </row>
    <row r="118" spans="1:20" x14ac:dyDescent="0.25">
      <c r="A118">
        <v>152</v>
      </c>
      <c r="B118" t="s">
        <v>245</v>
      </c>
      <c r="C118">
        <v>2</v>
      </c>
      <c r="D118">
        <v>1951</v>
      </c>
      <c r="E118">
        <v>1952</v>
      </c>
      <c r="F118">
        <v>9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R118">
        <v>0</v>
      </c>
      <c r="S118">
        <v>0</v>
      </c>
      <c r="T118" t="s">
        <v>246</v>
      </c>
    </row>
    <row r="119" spans="1:20" x14ac:dyDescent="0.25">
      <c r="A119">
        <v>103</v>
      </c>
      <c r="B119" t="s">
        <v>247</v>
      </c>
      <c r="C119">
        <v>1</v>
      </c>
      <c r="D119">
        <v>1952</v>
      </c>
      <c r="E119">
        <v>1952</v>
      </c>
      <c r="F119">
        <v>9</v>
      </c>
      <c r="G119">
        <v>4</v>
      </c>
      <c r="H119">
        <v>5</v>
      </c>
      <c r="I119">
        <v>80</v>
      </c>
      <c r="J119">
        <v>39</v>
      </c>
      <c r="K119">
        <v>0</v>
      </c>
      <c r="L119">
        <v>0</v>
      </c>
      <c r="M119">
        <v>0</v>
      </c>
      <c r="N119">
        <v>0</v>
      </c>
      <c r="O119">
        <v>7.8</v>
      </c>
      <c r="P119">
        <v>7.8</v>
      </c>
      <c r="Q119">
        <v>9.8000000000000007</v>
      </c>
      <c r="R119">
        <v>4.3</v>
      </c>
      <c r="S119">
        <v>145.5</v>
      </c>
      <c r="T119" t="s">
        <v>248</v>
      </c>
    </row>
    <row r="120" spans="1:20" x14ac:dyDescent="0.25">
      <c r="A120">
        <v>75</v>
      </c>
      <c r="B120" t="s">
        <v>249</v>
      </c>
      <c r="C120">
        <v>3</v>
      </c>
      <c r="D120">
        <v>1953</v>
      </c>
      <c r="E120">
        <v>1955</v>
      </c>
      <c r="F120">
        <v>24</v>
      </c>
      <c r="G120">
        <v>7</v>
      </c>
      <c r="H120">
        <v>16</v>
      </c>
      <c r="I120">
        <v>43.8</v>
      </c>
      <c r="J120">
        <v>117</v>
      </c>
      <c r="K120">
        <v>0</v>
      </c>
      <c r="L120">
        <v>0</v>
      </c>
      <c r="M120">
        <v>2</v>
      </c>
      <c r="N120">
        <v>12.5</v>
      </c>
      <c r="O120">
        <v>7.3</v>
      </c>
      <c r="P120">
        <v>1.69</v>
      </c>
      <c r="Q120">
        <v>16.7</v>
      </c>
      <c r="R120">
        <v>4.9000000000000004</v>
      </c>
      <c r="S120">
        <v>80.2</v>
      </c>
      <c r="T120" t="s">
        <v>250</v>
      </c>
    </row>
    <row r="121" spans="1:20" x14ac:dyDescent="0.25">
      <c r="A121">
        <v>90</v>
      </c>
      <c r="B121" t="s">
        <v>251</v>
      </c>
      <c r="C121">
        <v>1</v>
      </c>
      <c r="D121">
        <v>1953</v>
      </c>
      <c r="E121">
        <v>1953</v>
      </c>
      <c r="F121">
        <v>9</v>
      </c>
      <c r="G121">
        <v>2</v>
      </c>
      <c r="H121">
        <v>7</v>
      </c>
      <c r="I121">
        <v>28.6</v>
      </c>
      <c r="J121">
        <v>71</v>
      </c>
      <c r="K121">
        <v>0</v>
      </c>
      <c r="L121">
        <v>0</v>
      </c>
      <c r="M121">
        <v>0</v>
      </c>
      <c r="N121">
        <v>0</v>
      </c>
      <c r="O121">
        <v>10.1</v>
      </c>
      <c r="P121">
        <v>10.14</v>
      </c>
      <c r="Q121">
        <v>35.5</v>
      </c>
      <c r="R121">
        <v>7.9</v>
      </c>
      <c r="S121">
        <v>113.8</v>
      </c>
      <c r="T121" t="s">
        <v>252</v>
      </c>
    </row>
    <row r="122" spans="1:20" x14ac:dyDescent="0.25">
      <c r="A122">
        <v>84</v>
      </c>
      <c r="B122" t="s">
        <v>253</v>
      </c>
      <c r="C122">
        <v>2</v>
      </c>
      <c r="D122">
        <v>1954</v>
      </c>
      <c r="E122">
        <v>1957</v>
      </c>
      <c r="F122">
        <v>7</v>
      </c>
      <c r="G122">
        <v>7</v>
      </c>
      <c r="H122">
        <v>12</v>
      </c>
      <c r="I122">
        <v>58.3</v>
      </c>
      <c r="J122">
        <v>94</v>
      </c>
      <c r="K122">
        <v>0</v>
      </c>
      <c r="L122">
        <v>0</v>
      </c>
      <c r="M122">
        <v>0</v>
      </c>
      <c r="N122">
        <v>0</v>
      </c>
      <c r="O122">
        <v>7.8</v>
      </c>
      <c r="P122">
        <v>7.83</v>
      </c>
      <c r="Q122">
        <v>13.4</v>
      </c>
      <c r="R122">
        <v>13.4</v>
      </c>
      <c r="S122">
        <v>124.1</v>
      </c>
      <c r="T122" t="s">
        <v>254</v>
      </c>
    </row>
    <row r="123" spans="1:20" x14ac:dyDescent="0.25">
      <c r="A123">
        <v>100</v>
      </c>
      <c r="B123" t="s">
        <v>255</v>
      </c>
      <c r="C123">
        <v>3</v>
      </c>
      <c r="D123">
        <v>1954</v>
      </c>
      <c r="E123">
        <v>1956</v>
      </c>
      <c r="F123">
        <v>9</v>
      </c>
      <c r="G123">
        <v>3</v>
      </c>
      <c r="H123">
        <v>11</v>
      </c>
      <c r="I123">
        <v>27.3</v>
      </c>
      <c r="J123">
        <v>45</v>
      </c>
      <c r="K123">
        <v>0</v>
      </c>
      <c r="L123">
        <v>0</v>
      </c>
      <c r="M123">
        <v>0</v>
      </c>
      <c r="N123">
        <v>0</v>
      </c>
      <c r="O123">
        <v>4.0999999999999996</v>
      </c>
      <c r="P123">
        <v>4.09</v>
      </c>
      <c r="Q123">
        <v>15</v>
      </c>
      <c r="R123">
        <v>5</v>
      </c>
      <c r="S123">
        <v>61.6</v>
      </c>
      <c r="T123" t="s">
        <v>256</v>
      </c>
    </row>
    <row r="124" spans="1:20" x14ac:dyDescent="0.25">
      <c r="A124">
        <v>153</v>
      </c>
      <c r="B124" t="s">
        <v>257</v>
      </c>
      <c r="C124">
        <v>1</v>
      </c>
      <c r="D124">
        <v>1954</v>
      </c>
      <c r="E124">
        <v>1954</v>
      </c>
      <c r="F124">
        <v>9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R124">
        <v>0</v>
      </c>
      <c r="S124">
        <v>0</v>
      </c>
      <c r="T124" t="s">
        <v>258</v>
      </c>
    </row>
    <row r="125" spans="1:20" x14ac:dyDescent="0.25">
      <c r="A125">
        <v>154</v>
      </c>
      <c r="B125" t="s">
        <v>259</v>
      </c>
      <c r="C125">
        <v>2</v>
      </c>
      <c r="D125">
        <v>1954</v>
      </c>
      <c r="E125">
        <v>1956</v>
      </c>
      <c r="F125">
        <v>9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100</v>
      </c>
      <c r="O125">
        <v>0</v>
      </c>
      <c r="P125">
        <v>-45</v>
      </c>
      <c r="R125">
        <v>0</v>
      </c>
      <c r="S125">
        <v>-200</v>
      </c>
      <c r="T125" t="s">
        <v>260</v>
      </c>
    </row>
    <row r="126" spans="1:20" x14ac:dyDescent="0.25">
      <c r="A126">
        <v>155</v>
      </c>
      <c r="B126" t="s">
        <v>261</v>
      </c>
      <c r="C126">
        <v>1</v>
      </c>
      <c r="D126">
        <v>1954</v>
      </c>
      <c r="E126">
        <v>1954</v>
      </c>
      <c r="F126">
        <v>9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R126">
        <v>0</v>
      </c>
      <c r="S126">
        <v>0</v>
      </c>
      <c r="T126" t="s">
        <v>262</v>
      </c>
    </row>
    <row r="127" spans="1:20" x14ac:dyDescent="0.25">
      <c r="A127">
        <v>97</v>
      </c>
      <c r="B127" t="s">
        <v>263</v>
      </c>
      <c r="C127">
        <v>3</v>
      </c>
      <c r="D127">
        <v>1955</v>
      </c>
      <c r="E127">
        <v>1957</v>
      </c>
      <c r="F127">
        <v>17</v>
      </c>
      <c r="G127">
        <v>2</v>
      </c>
      <c r="H127">
        <v>5</v>
      </c>
      <c r="I127">
        <v>40</v>
      </c>
      <c r="J127">
        <v>59</v>
      </c>
      <c r="K127">
        <v>0</v>
      </c>
      <c r="L127">
        <v>0</v>
      </c>
      <c r="M127">
        <v>0</v>
      </c>
      <c r="N127">
        <v>0</v>
      </c>
      <c r="O127">
        <v>11.8</v>
      </c>
      <c r="P127">
        <v>11.8</v>
      </c>
      <c r="Q127">
        <v>29.5</v>
      </c>
      <c r="R127">
        <v>3.5</v>
      </c>
      <c r="S127">
        <v>139.1</v>
      </c>
      <c r="T127" t="s">
        <v>264</v>
      </c>
    </row>
    <row r="128" spans="1:20" x14ac:dyDescent="0.25">
      <c r="A128">
        <v>114</v>
      </c>
      <c r="B128" t="s">
        <v>265</v>
      </c>
      <c r="C128">
        <v>2</v>
      </c>
      <c r="D128">
        <v>1955</v>
      </c>
      <c r="E128">
        <v>1956</v>
      </c>
      <c r="F128">
        <v>7</v>
      </c>
      <c r="G128">
        <v>2</v>
      </c>
      <c r="H128">
        <v>11</v>
      </c>
      <c r="I128">
        <v>18.2</v>
      </c>
      <c r="J128">
        <v>27</v>
      </c>
      <c r="K128">
        <v>0</v>
      </c>
      <c r="L128">
        <v>0</v>
      </c>
      <c r="M128">
        <v>1</v>
      </c>
      <c r="N128">
        <v>9.1</v>
      </c>
      <c r="O128">
        <v>2.5</v>
      </c>
      <c r="P128">
        <v>-1.64</v>
      </c>
      <c r="Q128">
        <v>13.5</v>
      </c>
      <c r="R128">
        <v>3.9</v>
      </c>
      <c r="S128">
        <v>20.6</v>
      </c>
      <c r="T128" t="s">
        <v>266</v>
      </c>
    </row>
    <row r="129" spans="1:20" x14ac:dyDescent="0.25">
      <c r="A129">
        <v>156</v>
      </c>
      <c r="B129" t="s">
        <v>267</v>
      </c>
      <c r="C129">
        <v>1</v>
      </c>
      <c r="D129">
        <v>1955</v>
      </c>
      <c r="E129">
        <v>1955</v>
      </c>
      <c r="F129">
        <v>2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R129">
        <v>0</v>
      </c>
      <c r="S129">
        <v>0</v>
      </c>
      <c r="T129" t="s">
        <v>268</v>
      </c>
    </row>
    <row r="130" spans="1:20" x14ac:dyDescent="0.25">
      <c r="A130">
        <v>133</v>
      </c>
      <c r="B130" t="s">
        <v>269</v>
      </c>
      <c r="C130">
        <v>3</v>
      </c>
      <c r="D130">
        <v>1956</v>
      </c>
      <c r="E130">
        <v>1958</v>
      </c>
      <c r="F130">
        <v>18</v>
      </c>
      <c r="G130">
        <v>2</v>
      </c>
      <c r="H130">
        <v>6</v>
      </c>
      <c r="I130">
        <v>33.299999999999997</v>
      </c>
      <c r="J130">
        <v>12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2</v>
      </c>
      <c r="Q130">
        <v>6</v>
      </c>
      <c r="R130">
        <v>0.7</v>
      </c>
      <c r="S130">
        <v>50.1</v>
      </c>
      <c r="T130" t="s">
        <v>270</v>
      </c>
    </row>
    <row r="131" spans="1:20" x14ac:dyDescent="0.25">
      <c r="A131">
        <v>142</v>
      </c>
      <c r="B131" t="s">
        <v>271</v>
      </c>
      <c r="C131">
        <v>3</v>
      </c>
      <c r="D131">
        <v>1957</v>
      </c>
      <c r="E131">
        <v>1960</v>
      </c>
      <c r="F131">
        <v>4</v>
      </c>
      <c r="G131">
        <v>1</v>
      </c>
      <c r="H131">
        <v>1</v>
      </c>
      <c r="I131">
        <v>100</v>
      </c>
      <c r="J131">
        <v>7</v>
      </c>
      <c r="K131">
        <v>0</v>
      </c>
      <c r="L131">
        <v>0</v>
      </c>
      <c r="M131">
        <v>0</v>
      </c>
      <c r="N131">
        <v>0</v>
      </c>
      <c r="O131">
        <v>7</v>
      </c>
      <c r="P131">
        <v>7</v>
      </c>
      <c r="Q131">
        <v>7</v>
      </c>
      <c r="R131">
        <v>1.8</v>
      </c>
      <c r="S131">
        <v>158.80000000000001</v>
      </c>
      <c r="T131" t="s">
        <v>272</v>
      </c>
    </row>
    <row r="132" spans="1:20" x14ac:dyDescent="0.25">
      <c r="A132">
        <v>144</v>
      </c>
      <c r="B132" t="s">
        <v>273</v>
      </c>
      <c r="C132">
        <v>1</v>
      </c>
      <c r="D132">
        <v>1957</v>
      </c>
      <c r="E132">
        <v>1957</v>
      </c>
      <c r="F132">
        <v>2</v>
      </c>
      <c r="G132">
        <v>1</v>
      </c>
      <c r="H132">
        <v>1</v>
      </c>
      <c r="I132">
        <v>100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3</v>
      </c>
      <c r="Q132">
        <v>3</v>
      </c>
      <c r="R132">
        <v>1.5</v>
      </c>
      <c r="S132">
        <v>125.2</v>
      </c>
      <c r="T132" t="s">
        <v>274</v>
      </c>
    </row>
    <row r="133" spans="1:20" x14ac:dyDescent="0.25">
      <c r="A133">
        <v>157</v>
      </c>
      <c r="B133" t="s">
        <v>275</v>
      </c>
      <c r="C133">
        <v>1</v>
      </c>
      <c r="D133">
        <v>1957</v>
      </c>
      <c r="E133">
        <v>1957</v>
      </c>
      <c r="F133">
        <v>3</v>
      </c>
      <c r="G133">
        <v>1</v>
      </c>
      <c r="H133">
        <v>4</v>
      </c>
      <c r="I133">
        <v>25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25</v>
      </c>
      <c r="T133" t="s">
        <v>276</v>
      </c>
    </row>
    <row r="134" spans="1:20" x14ac:dyDescent="0.25">
      <c r="A134">
        <v>158</v>
      </c>
      <c r="B134" t="s">
        <v>277</v>
      </c>
      <c r="C134">
        <v>2</v>
      </c>
      <c r="D134">
        <v>1957</v>
      </c>
      <c r="E134">
        <v>1958</v>
      </c>
      <c r="F134">
        <v>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R134">
        <v>0</v>
      </c>
      <c r="S134">
        <v>0</v>
      </c>
      <c r="T134" t="s">
        <v>278</v>
      </c>
    </row>
    <row r="135" spans="1:20" x14ac:dyDescent="0.25">
      <c r="A135">
        <v>159</v>
      </c>
      <c r="B135" t="s">
        <v>279</v>
      </c>
      <c r="C135">
        <v>2</v>
      </c>
      <c r="D135">
        <v>1958</v>
      </c>
      <c r="E135">
        <v>1960</v>
      </c>
      <c r="F135">
        <v>3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50</v>
      </c>
      <c r="O135">
        <v>0</v>
      </c>
      <c r="P135">
        <v>-22.5</v>
      </c>
      <c r="R135">
        <v>0</v>
      </c>
      <c r="S135">
        <v>-100</v>
      </c>
      <c r="T135" t="s">
        <v>280</v>
      </c>
    </row>
    <row r="136" spans="1:20" x14ac:dyDescent="0.25">
      <c r="A136">
        <v>94</v>
      </c>
      <c r="B136" t="s">
        <v>281</v>
      </c>
      <c r="C136">
        <v>3</v>
      </c>
      <c r="D136">
        <v>1959</v>
      </c>
      <c r="E136">
        <v>1961</v>
      </c>
      <c r="F136">
        <v>23</v>
      </c>
      <c r="G136">
        <v>8</v>
      </c>
      <c r="H136">
        <v>18</v>
      </c>
      <c r="I136">
        <v>44.4</v>
      </c>
      <c r="J136">
        <v>64</v>
      </c>
      <c r="K136">
        <v>0</v>
      </c>
      <c r="L136">
        <v>0</v>
      </c>
      <c r="M136">
        <v>1</v>
      </c>
      <c r="N136">
        <v>5.6</v>
      </c>
      <c r="O136">
        <v>3.6</v>
      </c>
      <c r="P136">
        <v>1.06</v>
      </c>
      <c r="Q136">
        <v>8</v>
      </c>
      <c r="R136">
        <v>2.8</v>
      </c>
      <c r="S136">
        <v>63.2</v>
      </c>
      <c r="T136" t="s">
        <v>282</v>
      </c>
    </row>
    <row r="137" spans="1:20" x14ac:dyDescent="0.25">
      <c r="A137">
        <v>117</v>
      </c>
      <c r="B137" t="s">
        <v>283</v>
      </c>
      <c r="C137">
        <v>3</v>
      </c>
      <c r="D137">
        <v>1961</v>
      </c>
      <c r="E137">
        <v>1963</v>
      </c>
      <c r="F137">
        <v>9</v>
      </c>
      <c r="G137">
        <v>1</v>
      </c>
      <c r="H137">
        <v>2</v>
      </c>
      <c r="I137">
        <v>50</v>
      </c>
      <c r="J137">
        <v>25</v>
      </c>
      <c r="K137">
        <v>0</v>
      </c>
      <c r="L137">
        <v>0</v>
      </c>
      <c r="M137">
        <v>0</v>
      </c>
      <c r="N137">
        <v>0</v>
      </c>
      <c r="O137">
        <v>12.5</v>
      </c>
      <c r="P137">
        <v>12.5</v>
      </c>
      <c r="Q137">
        <v>25</v>
      </c>
      <c r="R137">
        <v>2.8</v>
      </c>
      <c r="S137">
        <v>155</v>
      </c>
      <c r="T137" t="s">
        <v>284</v>
      </c>
    </row>
    <row r="138" spans="1:20" x14ac:dyDescent="0.25">
      <c r="A138">
        <v>74</v>
      </c>
      <c r="B138" t="s">
        <v>285</v>
      </c>
      <c r="C138">
        <v>3</v>
      </c>
      <c r="D138">
        <v>1962</v>
      </c>
      <c r="E138">
        <v>1964</v>
      </c>
      <c r="F138">
        <v>16</v>
      </c>
      <c r="G138">
        <v>7</v>
      </c>
      <c r="H138">
        <v>26</v>
      </c>
      <c r="I138">
        <v>26.9</v>
      </c>
      <c r="J138">
        <v>120</v>
      </c>
      <c r="K138">
        <v>0</v>
      </c>
      <c r="L138">
        <v>0</v>
      </c>
      <c r="M138">
        <v>6</v>
      </c>
      <c r="N138">
        <v>23.1</v>
      </c>
      <c r="O138">
        <v>4.5999999999999996</v>
      </c>
      <c r="P138">
        <v>-5.77</v>
      </c>
      <c r="Q138">
        <v>17.100000000000001</v>
      </c>
      <c r="R138">
        <v>7.5</v>
      </c>
      <c r="S138">
        <v>19.5</v>
      </c>
      <c r="T138" t="s">
        <v>286</v>
      </c>
    </row>
    <row r="139" spans="1:20" x14ac:dyDescent="0.25">
      <c r="A139">
        <v>130</v>
      </c>
      <c r="B139" t="s">
        <v>287</v>
      </c>
      <c r="C139">
        <v>2</v>
      </c>
      <c r="D139">
        <v>1963</v>
      </c>
      <c r="E139">
        <v>1964</v>
      </c>
      <c r="F139">
        <v>18</v>
      </c>
      <c r="G139">
        <v>2</v>
      </c>
      <c r="H139">
        <v>3</v>
      </c>
      <c r="I139">
        <v>66.7</v>
      </c>
      <c r="J139">
        <v>15</v>
      </c>
      <c r="K139">
        <v>0</v>
      </c>
      <c r="L139">
        <v>0</v>
      </c>
      <c r="M139">
        <v>0</v>
      </c>
      <c r="N139">
        <v>0</v>
      </c>
      <c r="O139">
        <v>5</v>
      </c>
      <c r="P139">
        <v>5</v>
      </c>
      <c r="Q139">
        <v>7.5</v>
      </c>
      <c r="R139">
        <v>0.8</v>
      </c>
      <c r="S139">
        <v>108.7</v>
      </c>
      <c r="T139" t="s">
        <v>288</v>
      </c>
    </row>
    <row r="140" spans="1:20" x14ac:dyDescent="0.25">
      <c r="A140">
        <v>160</v>
      </c>
      <c r="B140" t="s">
        <v>289</v>
      </c>
      <c r="C140">
        <v>3</v>
      </c>
      <c r="D140">
        <v>1963</v>
      </c>
      <c r="E140">
        <v>1965</v>
      </c>
      <c r="F140">
        <v>14</v>
      </c>
      <c r="G140">
        <v>0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25</v>
      </c>
      <c r="O140">
        <v>0</v>
      </c>
      <c r="P140">
        <v>-11.25</v>
      </c>
      <c r="R140">
        <v>0</v>
      </c>
      <c r="S140">
        <v>-50</v>
      </c>
      <c r="T140" t="s">
        <v>290</v>
      </c>
    </row>
    <row r="141" spans="1:20" x14ac:dyDescent="0.25">
      <c r="A141">
        <v>124</v>
      </c>
      <c r="B141" t="s">
        <v>291</v>
      </c>
      <c r="C141">
        <v>2</v>
      </c>
      <c r="D141">
        <v>1965</v>
      </c>
      <c r="E141">
        <v>1966</v>
      </c>
      <c r="F141">
        <v>9</v>
      </c>
      <c r="G141">
        <v>2</v>
      </c>
      <c r="H141">
        <v>6</v>
      </c>
      <c r="I141">
        <v>33.299999999999997</v>
      </c>
      <c r="J141">
        <v>19</v>
      </c>
      <c r="K141">
        <v>0</v>
      </c>
      <c r="L141">
        <v>0</v>
      </c>
      <c r="M141">
        <v>1</v>
      </c>
      <c r="N141">
        <v>16.7</v>
      </c>
      <c r="O141">
        <v>3.2</v>
      </c>
      <c r="P141">
        <v>-4.33</v>
      </c>
      <c r="Q141">
        <v>9.5</v>
      </c>
      <c r="R141">
        <v>2.1</v>
      </c>
      <c r="S141">
        <v>26.6</v>
      </c>
      <c r="T141" t="s">
        <v>292</v>
      </c>
    </row>
    <row r="142" spans="1:20" x14ac:dyDescent="0.25">
      <c r="A142">
        <v>82</v>
      </c>
      <c r="B142" t="s">
        <v>293</v>
      </c>
      <c r="C142">
        <v>2</v>
      </c>
      <c r="D142">
        <v>1966</v>
      </c>
      <c r="E142">
        <v>1967</v>
      </c>
      <c r="F142">
        <v>15</v>
      </c>
      <c r="G142">
        <v>11</v>
      </c>
      <c r="H142">
        <v>29</v>
      </c>
      <c r="I142">
        <v>37.9</v>
      </c>
      <c r="J142">
        <v>98</v>
      </c>
      <c r="K142">
        <v>0</v>
      </c>
      <c r="L142">
        <v>0</v>
      </c>
      <c r="M142">
        <v>3</v>
      </c>
      <c r="N142">
        <v>10.3</v>
      </c>
      <c r="O142">
        <v>3.4</v>
      </c>
      <c r="P142">
        <v>-1.28</v>
      </c>
      <c r="Q142">
        <v>8.9</v>
      </c>
      <c r="R142">
        <v>6.5</v>
      </c>
      <c r="S142">
        <v>45.6</v>
      </c>
      <c r="T142" t="s">
        <v>294</v>
      </c>
    </row>
    <row r="143" spans="1:20" x14ac:dyDescent="0.25">
      <c r="A143">
        <v>125</v>
      </c>
      <c r="B143" t="s">
        <v>295</v>
      </c>
      <c r="C143">
        <v>2</v>
      </c>
      <c r="D143">
        <v>1968</v>
      </c>
      <c r="E143">
        <v>1969</v>
      </c>
      <c r="F143">
        <v>9</v>
      </c>
      <c r="G143">
        <v>1</v>
      </c>
      <c r="H143">
        <v>1</v>
      </c>
      <c r="I143">
        <v>100</v>
      </c>
      <c r="J143">
        <v>18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18</v>
      </c>
      <c r="Q143">
        <v>18</v>
      </c>
      <c r="R143">
        <v>2</v>
      </c>
      <c r="S143">
        <v>251.2</v>
      </c>
      <c r="T143" t="s">
        <v>296</v>
      </c>
    </row>
    <row r="144" spans="1:20" x14ac:dyDescent="0.25">
      <c r="A144">
        <v>161</v>
      </c>
      <c r="B144" t="s">
        <v>297</v>
      </c>
      <c r="C144">
        <v>3</v>
      </c>
      <c r="D144">
        <v>1970</v>
      </c>
      <c r="E144">
        <v>1972</v>
      </c>
      <c r="F144">
        <v>9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R144">
        <v>0</v>
      </c>
      <c r="S144">
        <v>0</v>
      </c>
      <c r="T144" t="s">
        <v>298</v>
      </c>
    </row>
    <row r="145" spans="1:20" x14ac:dyDescent="0.25">
      <c r="A145">
        <v>162</v>
      </c>
      <c r="B145" t="s">
        <v>299</v>
      </c>
      <c r="C145">
        <v>1</v>
      </c>
      <c r="D145">
        <v>1970</v>
      </c>
      <c r="E145">
        <v>1970</v>
      </c>
      <c r="F145">
        <v>3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50</v>
      </c>
      <c r="O145">
        <v>0</v>
      </c>
      <c r="P145">
        <v>-22.5</v>
      </c>
      <c r="R145">
        <v>0</v>
      </c>
      <c r="S145">
        <v>-100</v>
      </c>
      <c r="T145" t="s">
        <v>300</v>
      </c>
    </row>
    <row r="146" spans="1:20" x14ac:dyDescent="0.25">
      <c r="A146">
        <v>139</v>
      </c>
      <c r="B146" t="s">
        <v>301</v>
      </c>
      <c r="C146">
        <v>1</v>
      </c>
      <c r="D146">
        <v>1971</v>
      </c>
      <c r="E146">
        <v>1971</v>
      </c>
      <c r="F146">
        <v>2</v>
      </c>
      <c r="G146">
        <v>1</v>
      </c>
      <c r="H146">
        <v>2</v>
      </c>
      <c r="I146">
        <v>50</v>
      </c>
      <c r="J146">
        <v>9</v>
      </c>
      <c r="K146">
        <v>0</v>
      </c>
      <c r="L146">
        <v>0</v>
      </c>
      <c r="M146">
        <v>0</v>
      </c>
      <c r="N146">
        <v>0</v>
      </c>
      <c r="O146">
        <v>4.5</v>
      </c>
      <c r="P146">
        <v>4.5</v>
      </c>
      <c r="Q146">
        <v>9</v>
      </c>
      <c r="R146">
        <v>4.5</v>
      </c>
      <c r="S146">
        <v>87.8</v>
      </c>
      <c r="T146" t="s">
        <v>302</v>
      </c>
    </row>
    <row r="147" spans="1:20" x14ac:dyDescent="0.25">
      <c r="A147">
        <v>78</v>
      </c>
      <c r="B147" t="s">
        <v>303</v>
      </c>
      <c r="C147">
        <v>3</v>
      </c>
      <c r="D147">
        <v>1972</v>
      </c>
      <c r="E147">
        <v>1974</v>
      </c>
      <c r="F147">
        <v>21</v>
      </c>
      <c r="G147">
        <v>6</v>
      </c>
      <c r="H147">
        <v>14</v>
      </c>
      <c r="I147">
        <v>42.9</v>
      </c>
      <c r="J147">
        <v>104</v>
      </c>
      <c r="K147">
        <v>0</v>
      </c>
      <c r="L147">
        <v>0</v>
      </c>
      <c r="M147">
        <v>1</v>
      </c>
      <c r="N147">
        <v>7.1</v>
      </c>
      <c r="O147">
        <v>7.4</v>
      </c>
      <c r="P147">
        <v>4.21</v>
      </c>
      <c r="Q147">
        <v>17.3</v>
      </c>
      <c r="R147">
        <v>5</v>
      </c>
      <c r="S147">
        <v>91</v>
      </c>
      <c r="T147" t="s">
        <v>304</v>
      </c>
    </row>
    <row r="148" spans="1:20" x14ac:dyDescent="0.25">
      <c r="A148">
        <v>106</v>
      </c>
      <c r="B148" t="s">
        <v>305</v>
      </c>
      <c r="C148">
        <v>4</v>
      </c>
      <c r="D148">
        <v>1974</v>
      </c>
      <c r="E148">
        <v>1977</v>
      </c>
      <c r="F148">
        <v>11</v>
      </c>
      <c r="G148">
        <v>1</v>
      </c>
      <c r="H148">
        <v>1</v>
      </c>
      <c r="I148">
        <v>100</v>
      </c>
      <c r="J148">
        <v>36</v>
      </c>
      <c r="K148">
        <v>0</v>
      </c>
      <c r="L148">
        <v>0</v>
      </c>
      <c r="M148">
        <v>0</v>
      </c>
      <c r="N148">
        <v>0</v>
      </c>
      <c r="O148">
        <v>36</v>
      </c>
      <c r="P148">
        <v>36</v>
      </c>
      <c r="Q148">
        <v>36</v>
      </c>
      <c r="R148">
        <v>3.3</v>
      </c>
      <c r="S148">
        <v>402.4</v>
      </c>
      <c r="T148" t="s">
        <v>306</v>
      </c>
    </row>
    <row r="149" spans="1:20" x14ac:dyDescent="0.25">
      <c r="A149">
        <v>113</v>
      </c>
      <c r="B149" t="s">
        <v>307</v>
      </c>
      <c r="C149">
        <v>4</v>
      </c>
      <c r="D149">
        <v>1976</v>
      </c>
      <c r="E149">
        <v>1979</v>
      </c>
      <c r="F149">
        <v>20</v>
      </c>
      <c r="G149">
        <v>2</v>
      </c>
      <c r="H149">
        <v>3</v>
      </c>
      <c r="I149">
        <v>66.7</v>
      </c>
      <c r="J149">
        <v>28</v>
      </c>
      <c r="K149">
        <v>0</v>
      </c>
      <c r="L149">
        <v>0</v>
      </c>
      <c r="M149">
        <v>0</v>
      </c>
      <c r="N149">
        <v>0</v>
      </c>
      <c r="O149">
        <v>9.3000000000000007</v>
      </c>
      <c r="P149">
        <v>9.33</v>
      </c>
      <c r="Q149">
        <v>14</v>
      </c>
      <c r="R149">
        <v>1.4</v>
      </c>
      <c r="S149">
        <v>145.1</v>
      </c>
      <c r="T149" t="s">
        <v>308</v>
      </c>
    </row>
    <row r="150" spans="1:20" x14ac:dyDescent="0.25">
      <c r="A150">
        <v>95</v>
      </c>
      <c r="B150" t="s">
        <v>309</v>
      </c>
      <c r="C150">
        <v>4</v>
      </c>
      <c r="D150">
        <v>1979</v>
      </c>
      <c r="E150">
        <v>1982</v>
      </c>
      <c r="F150">
        <v>11</v>
      </c>
      <c r="G150">
        <v>1</v>
      </c>
      <c r="H150">
        <v>1</v>
      </c>
      <c r="I150">
        <v>100</v>
      </c>
      <c r="J150">
        <v>63</v>
      </c>
      <c r="K150">
        <v>0</v>
      </c>
      <c r="L150">
        <v>0</v>
      </c>
      <c r="M150">
        <v>0</v>
      </c>
      <c r="N150">
        <v>0</v>
      </c>
      <c r="O150">
        <v>63</v>
      </c>
      <c r="P150">
        <v>63</v>
      </c>
      <c r="Q150">
        <v>63</v>
      </c>
      <c r="R150">
        <v>5.7</v>
      </c>
      <c r="S150">
        <v>629.20000000000005</v>
      </c>
      <c r="T150" t="s">
        <v>310</v>
      </c>
    </row>
    <row r="151" spans="1:20" x14ac:dyDescent="0.25">
      <c r="A151">
        <v>163</v>
      </c>
      <c r="B151" t="s">
        <v>311</v>
      </c>
      <c r="C151">
        <v>4</v>
      </c>
      <c r="D151">
        <v>1979</v>
      </c>
      <c r="E151">
        <v>1982</v>
      </c>
      <c r="F151">
        <v>11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R151">
        <v>0</v>
      </c>
      <c r="S151">
        <v>0</v>
      </c>
      <c r="T151" t="s">
        <v>312</v>
      </c>
    </row>
    <row r="152" spans="1:20" x14ac:dyDescent="0.25">
      <c r="A152">
        <v>91</v>
      </c>
      <c r="B152" t="s">
        <v>313</v>
      </c>
      <c r="C152">
        <v>4</v>
      </c>
      <c r="D152">
        <v>1980</v>
      </c>
      <c r="E152">
        <v>1983</v>
      </c>
      <c r="F152">
        <v>4</v>
      </c>
      <c r="G152">
        <v>5</v>
      </c>
      <c r="H152">
        <v>7</v>
      </c>
      <c r="I152">
        <v>71.400000000000006</v>
      </c>
      <c r="J152">
        <v>68</v>
      </c>
      <c r="K152">
        <v>0</v>
      </c>
      <c r="L152">
        <v>0</v>
      </c>
      <c r="M152">
        <v>1</v>
      </c>
      <c r="N152">
        <v>14.3</v>
      </c>
      <c r="O152">
        <v>9.6999999999999993</v>
      </c>
      <c r="P152">
        <v>3.29</v>
      </c>
      <c r="Q152">
        <v>13.6</v>
      </c>
      <c r="R152">
        <v>17</v>
      </c>
      <c r="S152">
        <v>124.5</v>
      </c>
      <c r="T152" t="s">
        <v>314</v>
      </c>
    </row>
    <row r="153" spans="1:20" x14ac:dyDescent="0.25">
      <c r="A153">
        <v>164</v>
      </c>
      <c r="B153" t="s">
        <v>315</v>
      </c>
      <c r="C153">
        <v>3</v>
      </c>
      <c r="D153">
        <v>1983</v>
      </c>
      <c r="E153">
        <v>1985</v>
      </c>
      <c r="F153">
        <v>11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R153">
        <v>0</v>
      </c>
      <c r="S153">
        <v>0</v>
      </c>
      <c r="T153" t="s">
        <v>316</v>
      </c>
    </row>
    <row r="154" spans="1:20" x14ac:dyDescent="0.25">
      <c r="A154">
        <v>134</v>
      </c>
      <c r="B154" t="s">
        <v>317</v>
      </c>
      <c r="C154">
        <v>2</v>
      </c>
      <c r="D154">
        <v>1985</v>
      </c>
      <c r="E154">
        <v>1987</v>
      </c>
      <c r="F154">
        <v>12</v>
      </c>
      <c r="G154">
        <v>1</v>
      </c>
      <c r="H154">
        <v>3</v>
      </c>
      <c r="I154">
        <v>33.299999999999997</v>
      </c>
      <c r="J154">
        <v>11</v>
      </c>
      <c r="K154">
        <v>0</v>
      </c>
      <c r="L154">
        <v>0</v>
      </c>
      <c r="M154">
        <v>0</v>
      </c>
      <c r="N154">
        <v>0</v>
      </c>
      <c r="O154">
        <v>3.7</v>
      </c>
      <c r="P154">
        <v>3.67</v>
      </c>
      <c r="Q154">
        <v>11</v>
      </c>
      <c r="R154">
        <v>0.9</v>
      </c>
      <c r="S154">
        <v>64.099999999999994</v>
      </c>
      <c r="T154" t="s">
        <v>318</v>
      </c>
    </row>
    <row r="155" spans="1:20" x14ac:dyDescent="0.25">
      <c r="A155">
        <v>165</v>
      </c>
      <c r="B155" t="s">
        <v>319</v>
      </c>
      <c r="C155">
        <v>3</v>
      </c>
      <c r="D155">
        <v>1985</v>
      </c>
      <c r="E155">
        <v>1987</v>
      </c>
      <c r="F155">
        <v>12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100</v>
      </c>
      <c r="O155">
        <v>0</v>
      </c>
      <c r="P155">
        <v>-45</v>
      </c>
      <c r="R155">
        <v>0</v>
      </c>
      <c r="S155">
        <v>-200</v>
      </c>
      <c r="T155" t="s">
        <v>320</v>
      </c>
    </row>
    <row r="156" spans="1:20" x14ac:dyDescent="0.25">
      <c r="A156">
        <v>166</v>
      </c>
      <c r="B156" t="s">
        <v>321</v>
      </c>
      <c r="C156">
        <v>4</v>
      </c>
      <c r="D156">
        <v>1986</v>
      </c>
      <c r="E156">
        <v>1989</v>
      </c>
      <c r="F156">
        <v>11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100</v>
      </c>
      <c r="O156">
        <v>0</v>
      </c>
      <c r="P156">
        <v>-45</v>
      </c>
      <c r="R156">
        <v>0</v>
      </c>
      <c r="S156">
        <v>-200</v>
      </c>
      <c r="T156" t="s">
        <v>322</v>
      </c>
    </row>
    <row r="157" spans="1:20" x14ac:dyDescent="0.25">
      <c r="A157">
        <v>118</v>
      </c>
      <c r="B157" t="s">
        <v>323</v>
      </c>
      <c r="C157">
        <v>1</v>
      </c>
      <c r="D157">
        <v>1988</v>
      </c>
      <c r="E157">
        <v>1988</v>
      </c>
      <c r="F157">
        <v>11</v>
      </c>
      <c r="G157">
        <v>1</v>
      </c>
      <c r="H157">
        <v>1</v>
      </c>
      <c r="I157">
        <v>100</v>
      </c>
      <c r="J157">
        <v>22</v>
      </c>
      <c r="K157">
        <v>0</v>
      </c>
      <c r="L157">
        <v>0</v>
      </c>
      <c r="M157">
        <v>0</v>
      </c>
      <c r="N157">
        <v>0</v>
      </c>
      <c r="O157">
        <v>22</v>
      </c>
      <c r="P157">
        <v>22</v>
      </c>
      <c r="Q157">
        <v>22</v>
      </c>
      <c r="R157">
        <v>2</v>
      </c>
      <c r="S157">
        <v>284.8</v>
      </c>
      <c r="T157" t="s">
        <v>324</v>
      </c>
    </row>
    <row r="158" spans="1:20" x14ac:dyDescent="0.25">
      <c r="A158">
        <v>140</v>
      </c>
      <c r="B158" t="s">
        <v>325</v>
      </c>
      <c r="C158">
        <v>1</v>
      </c>
      <c r="D158">
        <v>1988</v>
      </c>
      <c r="E158">
        <v>1988</v>
      </c>
      <c r="F158">
        <v>11</v>
      </c>
      <c r="G158">
        <v>1</v>
      </c>
      <c r="H158">
        <v>2</v>
      </c>
      <c r="I158">
        <v>50</v>
      </c>
      <c r="J158">
        <v>8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4</v>
      </c>
      <c r="Q158">
        <v>8</v>
      </c>
      <c r="R158">
        <v>0.7</v>
      </c>
      <c r="S158">
        <v>83.6</v>
      </c>
      <c r="T158" t="s">
        <v>326</v>
      </c>
    </row>
    <row r="159" spans="1:20" x14ac:dyDescent="0.25">
      <c r="A159">
        <v>120</v>
      </c>
      <c r="B159" t="s">
        <v>327</v>
      </c>
      <c r="C159">
        <v>4</v>
      </c>
      <c r="D159">
        <v>1990</v>
      </c>
      <c r="E159">
        <v>1993</v>
      </c>
      <c r="F159">
        <v>11</v>
      </c>
      <c r="G159">
        <v>1</v>
      </c>
      <c r="H159">
        <v>1</v>
      </c>
      <c r="I159">
        <v>100</v>
      </c>
      <c r="J159">
        <v>21</v>
      </c>
      <c r="K159">
        <v>0</v>
      </c>
      <c r="L159">
        <v>0</v>
      </c>
      <c r="M159">
        <v>0</v>
      </c>
      <c r="N159">
        <v>0</v>
      </c>
      <c r="O159">
        <v>21</v>
      </c>
      <c r="P159">
        <v>21</v>
      </c>
      <c r="Q159">
        <v>21</v>
      </c>
      <c r="R159">
        <v>1.9</v>
      </c>
      <c r="S159">
        <v>276.39999999999998</v>
      </c>
      <c r="T159" t="s">
        <v>328</v>
      </c>
    </row>
    <row r="160" spans="1:20" x14ac:dyDescent="0.25">
      <c r="A160">
        <v>110</v>
      </c>
      <c r="B160" t="s">
        <v>329</v>
      </c>
      <c r="C160">
        <v>1</v>
      </c>
      <c r="D160">
        <v>1991</v>
      </c>
      <c r="E160">
        <v>1991</v>
      </c>
      <c r="F160">
        <v>3</v>
      </c>
      <c r="G160">
        <v>1</v>
      </c>
      <c r="H160">
        <v>5</v>
      </c>
      <c r="I160">
        <v>20</v>
      </c>
      <c r="J160">
        <v>34</v>
      </c>
      <c r="K160">
        <v>0</v>
      </c>
      <c r="L160">
        <v>0</v>
      </c>
      <c r="M160">
        <v>0</v>
      </c>
      <c r="N160">
        <v>0</v>
      </c>
      <c r="O160">
        <v>6.8</v>
      </c>
      <c r="P160">
        <v>6.8</v>
      </c>
      <c r="Q160">
        <v>34</v>
      </c>
      <c r="R160">
        <v>11.3</v>
      </c>
      <c r="S160">
        <v>77.099999999999994</v>
      </c>
      <c r="T160" t="s">
        <v>330</v>
      </c>
    </row>
    <row r="161" spans="1:20" x14ac:dyDescent="0.25">
      <c r="A161">
        <v>121</v>
      </c>
      <c r="B161" t="s">
        <v>331</v>
      </c>
      <c r="C161">
        <v>4</v>
      </c>
      <c r="D161">
        <v>1994</v>
      </c>
      <c r="E161">
        <v>1997</v>
      </c>
      <c r="F161">
        <v>11</v>
      </c>
      <c r="G161">
        <v>1</v>
      </c>
      <c r="H161">
        <v>1</v>
      </c>
      <c r="I161">
        <v>100</v>
      </c>
      <c r="J161">
        <v>21</v>
      </c>
      <c r="K161">
        <v>0</v>
      </c>
      <c r="L161">
        <v>0</v>
      </c>
      <c r="M161">
        <v>0</v>
      </c>
      <c r="N161">
        <v>0</v>
      </c>
      <c r="O161">
        <v>21</v>
      </c>
      <c r="P161">
        <v>21</v>
      </c>
      <c r="Q161">
        <v>21</v>
      </c>
      <c r="R161">
        <v>1.9</v>
      </c>
      <c r="S161">
        <v>276.39999999999998</v>
      </c>
      <c r="T161" t="s">
        <v>332</v>
      </c>
    </row>
    <row r="162" spans="1:20" x14ac:dyDescent="0.25">
      <c r="A162">
        <v>167</v>
      </c>
      <c r="B162" t="s">
        <v>333</v>
      </c>
      <c r="C162">
        <v>5</v>
      </c>
      <c r="D162">
        <v>1996</v>
      </c>
      <c r="E162">
        <v>2000</v>
      </c>
      <c r="F162">
        <v>11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R162">
        <v>0</v>
      </c>
      <c r="S162">
        <v>0</v>
      </c>
      <c r="T162" t="s">
        <v>334</v>
      </c>
    </row>
    <row r="163" spans="1:20" x14ac:dyDescent="0.25">
      <c r="A163">
        <v>145</v>
      </c>
      <c r="B163" t="s">
        <v>335</v>
      </c>
      <c r="C163">
        <v>3</v>
      </c>
      <c r="D163">
        <v>1998</v>
      </c>
      <c r="E163">
        <v>2000</v>
      </c>
      <c r="F163">
        <v>9</v>
      </c>
      <c r="G163">
        <v>1</v>
      </c>
      <c r="H163">
        <v>1</v>
      </c>
      <c r="I163">
        <v>100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1</v>
      </c>
      <c r="R163">
        <v>0.1</v>
      </c>
      <c r="S163">
        <v>108.4</v>
      </c>
      <c r="T163" t="s">
        <v>336</v>
      </c>
    </row>
    <row r="164" spans="1:20" x14ac:dyDescent="0.25">
      <c r="A164">
        <v>168</v>
      </c>
      <c r="B164" t="s">
        <v>337</v>
      </c>
      <c r="C164">
        <v>4</v>
      </c>
      <c r="D164">
        <v>1998</v>
      </c>
      <c r="E164">
        <v>2001</v>
      </c>
      <c r="F164">
        <v>11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R164">
        <v>0</v>
      </c>
      <c r="S164">
        <v>0</v>
      </c>
      <c r="T164" t="s">
        <v>338</v>
      </c>
    </row>
    <row r="165" spans="1:20" x14ac:dyDescent="0.25">
      <c r="A165">
        <v>169</v>
      </c>
      <c r="B165" t="s">
        <v>339</v>
      </c>
      <c r="C165">
        <v>4</v>
      </c>
      <c r="D165">
        <v>1999</v>
      </c>
      <c r="E165">
        <v>2003</v>
      </c>
      <c r="F165">
        <v>11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R165">
        <v>0</v>
      </c>
      <c r="S165">
        <v>0</v>
      </c>
      <c r="T165" t="s">
        <v>340</v>
      </c>
    </row>
    <row r="166" spans="1:20" x14ac:dyDescent="0.25">
      <c r="A166">
        <v>170</v>
      </c>
      <c r="B166" t="s">
        <v>341</v>
      </c>
      <c r="C166">
        <v>2</v>
      </c>
      <c r="D166">
        <v>2001</v>
      </c>
      <c r="E166">
        <v>2002</v>
      </c>
      <c r="F166">
        <v>11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R166">
        <v>0</v>
      </c>
      <c r="S166">
        <v>0</v>
      </c>
      <c r="T166" t="s">
        <v>342</v>
      </c>
    </row>
    <row r="167" spans="1:20" x14ac:dyDescent="0.25">
      <c r="A167">
        <v>73</v>
      </c>
      <c r="B167" t="s">
        <v>343</v>
      </c>
      <c r="C167">
        <v>2</v>
      </c>
      <c r="D167">
        <v>2006</v>
      </c>
      <c r="E167">
        <v>2007</v>
      </c>
      <c r="F167">
        <v>9</v>
      </c>
      <c r="G167">
        <v>18</v>
      </c>
      <c r="H167">
        <v>26</v>
      </c>
      <c r="I167">
        <v>69.2</v>
      </c>
      <c r="J167">
        <v>134</v>
      </c>
      <c r="K167">
        <v>0</v>
      </c>
      <c r="L167">
        <v>0</v>
      </c>
      <c r="M167">
        <v>0</v>
      </c>
      <c r="N167">
        <v>0</v>
      </c>
      <c r="O167">
        <v>5.2</v>
      </c>
      <c r="P167">
        <v>5.15</v>
      </c>
      <c r="Q167">
        <v>7.4</v>
      </c>
      <c r="R167">
        <v>14.9</v>
      </c>
      <c r="S167">
        <v>112.5</v>
      </c>
      <c r="T167" t="s">
        <v>344</v>
      </c>
    </row>
    <row r="168" spans="1:20" x14ac:dyDescent="0.25">
      <c r="A168">
        <v>171</v>
      </c>
      <c r="B168" t="s">
        <v>345</v>
      </c>
      <c r="C168">
        <v>4</v>
      </c>
      <c r="D168">
        <v>2013</v>
      </c>
      <c r="E168">
        <v>2016</v>
      </c>
      <c r="F168">
        <v>13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R168">
        <v>0</v>
      </c>
      <c r="S168">
        <v>0</v>
      </c>
      <c r="T168" t="s">
        <v>346</v>
      </c>
    </row>
    <row r="169" spans="1:20" x14ac:dyDescent="0.25">
      <c r="A169">
        <v>172</v>
      </c>
      <c r="B169" t="s">
        <v>347</v>
      </c>
      <c r="C169">
        <v>2</v>
      </c>
      <c r="D169">
        <v>2014</v>
      </c>
      <c r="E169">
        <v>2015</v>
      </c>
      <c r="F169">
        <v>15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R169">
        <v>0</v>
      </c>
      <c r="S169">
        <v>0</v>
      </c>
      <c r="T169" t="s">
        <v>348</v>
      </c>
    </row>
    <row r="170" spans="1:20" x14ac:dyDescent="0.25">
      <c r="A170">
        <v>122</v>
      </c>
      <c r="B170" t="s">
        <v>349</v>
      </c>
      <c r="C170">
        <v>4</v>
      </c>
      <c r="D170">
        <v>2017</v>
      </c>
      <c r="E170">
        <v>2020</v>
      </c>
      <c r="F170">
        <v>14</v>
      </c>
      <c r="G170">
        <v>1</v>
      </c>
      <c r="H170">
        <v>1</v>
      </c>
      <c r="I170">
        <v>100</v>
      </c>
      <c r="J170">
        <v>21</v>
      </c>
      <c r="K170">
        <v>0</v>
      </c>
      <c r="L170">
        <v>0</v>
      </c>
      <c r="M170">
        <v>0</v>
      </c>
      <c r="N170">
        <v>0</v>
      </c>
      <c r="O170">
        <v>21</v>
      </c>
      <c r="P170">
        <v>21</v>
      </c>
      <c r="Q170">
        <v>21</v>
      </c>
      <c r="R170">
        <v>1.5</v>
      </c>
      <c r="S170">
        <v>276.39999999999998</v>
      </c>
      <c r="T170" t="s">
        <v>350</v>
      </c>
    </row>
    <row r="171" spans="1:20" x14ac:dyDescent="0.25">
      <c r="A171">
        <v>80</v>
      </c>
      <c r="B171" t="s">
        <v>351</v>
      </c>
      <c r="C171">
        <v>2</v>
      </c>
      <c r="D171">
        <v>2020</v>
      </c>
      <c r="E171">
        <v>2021</v>
      </c>
      <c r="F171">
        <v>4</v>
      </c>
      <c r="G171">
        <v>7</v>
      </c>
      <c r="H171">
        <v>14</v>
      </c>
      <c r="I171">
        <v>50</v>
      </c>
      <c r="J171">
        <v>101</v>
      </c>
      <c r="K171">
        <v>0</v>
      </c>
      <c r="L171">
        <v>0</v>
      </c>
      <c r="M171">
        <v>0</v>
      </c>
      <c r="N171">
        <v>0</v>
      </c>
      <c r="O171">
        <v>7.2</v>
      </c>
      <c r="P171">
        <v>7.21</v>
      </c>
      <c r="Q171">
        <v>14.4</v>
      </c>
      <c r="R171">
        <v>25.3</v>
      </c>
      <c r="S171">
        <v>110.6</v>
      </c>
      <c r="T171" t="s">
        <v>352</v>
      </c>
    </row>
    <row r="172" spans="1:20" x14ac:dyDescent="0.25">
      <c r="A172">
        <v>173</v>
      </c>
      <c r="B172" t="s">
        <v>353</v>
      </c>
      <c r="C172">
        <v>4</v>
      </c>
      <c r="D172">
        <v>2021</v>
      </c>
      <c r="E172">
        <v>2024</v>
      </c>
      <c r="F172">
        <v>10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R172">
        <v>0</v>
      </c>
      <c r="S172">
        <v>0</v>
      </c>
      <c r="T172" t="s">
        <v>354</v>
      </c>
    </row>
    <row r="173" spans="1:20" x14ac:dyDescent="0.25">
      <c r="A173">
        <v>76</v>
      </c>
      <c r="B173" t="s">
        <v>355</v>
      </c>
      <c r="C173">
        <v>2</v>
      </c>
      <c r="D173">
        <v>2023</v>
      </c>
      <c r="E173">
        <v>2024</v>
      </c>
      <c r="F173">
        <v>3</v>
      </c>
      <c r="G173">
        <v>10</v>
      </c>
      <c r="H173">
        <v>22</v>
      </c>
      <c r="I173">
        <v>45.5</v>
      </c>
      <c r="J173">
        <v>111</v>
      </c>
      <c r="K173">
        <v>0</v>
      </c>
      <c r="L173">
        <v>0</v>
      </c>
      <c r="M173">
        <v>0</v>
      </c>
      <c r="N173">
        <v>0</v>
      </c>
      <c r="O173">
        <v>5</v>
      </c>
      <c r="P173">
        <v>5.05</v>
      </c>
      <c r="Q173">
        <v>11.1</v>
      </c>
      <c r="R173">
        <v>37</v>
      </c>
      <c r="S173">
        <v>87.8</v>
      </c>
      <c r="T173" t="s">
        <v>356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Quisno</dc:creator>
  <cp:lastModifiedBy>AJ Quisno</cp:lastModifiedBy>
  <dcterms:created xsi:type="dcterms:W3CDTF">2025-05-02T01:10:58Z</dcterms:created>
  <dcterms:modified xsi:type="dcterms:W3CDTF">2025-05-02T01:11:35Z</dcterms:modified>
</cp:coreProperties>
</file>